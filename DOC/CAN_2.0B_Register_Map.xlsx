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Jason Rodrigues\Desktop\CAN\"/>
    </mc:Choice>
  </mc:AlternateContent>
  <xr:revisionPtr revIDLastSave="0" documentId="13_ncr:1_{AA15AC19-5100-4089-937A-88DF9FE75999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Register Map" sheetId="1" r:id="rId1"/>
    <sheet name="Fields" sheetId="2" r:id="rId2"/>
    <sheet name="Bit Map" sheetId="3" r:id="rId3"/>
    <sheet name="Rules &amp; Notes" sheetId="4" r:id="rId4"/>
  </sheets>
  <definedNames>
    <definedName name="_xlnm._FilterDatabase" localSheetId="1" hidden="1">Fields!$A$1:$M$72</definedName>
    <definedName name="_xlnm._FilterDatabase" localSheetId="0" hidden="1">'Register Map'!$A$5:$I$32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72" i="2" l="1"/>
  <c r="G71" i="2"/>
  <c r="G70" i="2"/>
  <c r="G69" i="2"/>
  <c r="G68" i="2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" i="2"/>
  <c r="E40" i="1"/>
  <c r="E38" i="1"/>
  <c r="E37" i="1"/>
  <c r="E36" i="1"/>
  <c r="E35" i="1"/>
  <c r="F32" i="1"/>
  <c r="E32" i="1"/>
  <c r="F31" i="1"/>
  <c r="E31" i="1"/>
  <c r="F30" i="1"/>
  <c r="E30" i="1"/>
  <c r="F29" i="1"/>
  <c r="E29" i="1"/>
  <c r="F28" i="1"/>
  <c r="E28" i="1"/>
  <c r="F27" i="1"/>
  <c r="E27" i="1"/>
  <c r="F26" i="1"/>
  <c r="E26" i="1"/>
  <c r="F25" i="1"/>
  <c r="E25" i="1"/>
  <c r="F24" i="1"/>
  <c r="E24" i="1"/>
  <c r="F23" i="1"/>
  <c r="E23" i="1"/>
  <c r="F22" i="1"/>
  <c r="E22" i="1"/>
  <c r="F21" i="1"/>
  <c r="E21" i="1"/>
  <c r="F20" i="1"/>
  <c r="E20" i="1"/>
  <c r="F19" i="1"/>
  <c r="E19" i="1"/>
  <c r="F18" i="1"/>
  <c r="E18" i="1"/>
  <c r="F17" i="1"/>
  <c r="E17" i="1"/>
  <c r="F16" i="1"/>
  <c r="E16" i="1"/>
  <c r="F15" i="1"/>
  <c r="E15" i="1"/>
  <c r="F14" i="1"/>
  <c r="E14" i="1"/>
  <c r="F13" i="1"/>
  <c r="E13" i="1"/>
  <c r="F12" i="1"/>
  <c r="E12" i="1"/>
  <c r="F11" i="1"/>
  <c r="E11" i="1"/>
  <c r="F10" i="1"/>
  <c r="E10" i="1"/>
  <c r="F9" i="1"/>
  <c r="E9" i="1"/>
  <c r="F8" i="1"/>
  <c r="E8" i="1"/>
  <c r="F7" i="1"/>
  <c r="E7" i="1"/>
  <c r="F6" i="1"/>
  <c r="E39" i="1" s="1"/>
  <c r="E6" i="1"/>
</calcChain>
</file>

<file path=xl/sharedStrings.xml><?xml version="1.0" encoding="utf-8"?>
<sst xmlns="http://schemas.openxmlformats.org/spreadsheetml/2006/main" count="1145" uniqueCount="389">
  <si>
    <t>CAN 2.0B Controller: Register Map</t>
  </si>
  <si>
    <t>Source: CAN 2.0B Controller Design Specification, Section 5 (Register Map); notes from Sections 6, 9 and 10. APB4 slave can_apb_slave, ADDR_WIDTH = 12, all registers 32 bits, word aligned, 0x000 to 0x068.</t>
  </si>
  <si>
    <t>Reset value and field count are formulas driven by the Fields sheet. Write-only registers read as 0.</t>
  </si>
  <si>
    <t>Offset</t>
  </si>
  <si>
    <t>Register</t>
  </si>
  <si>
    <t>Access</t>
  </si>
  <si>
    <t>Group</t>
  </si>
  <si>
    <t>Reset value</t>
  </si>
  <si>
    <t>Fields</t>
  </si>
  <si>
    <t>Description</t>
  </si>
  <si>
    <t>Write rejected with PSLVERR when</t>
  </si>
  <si>
    <t>Spec section</t>
  </si>
  <si>
    <t>0x000</t>
  </si>
  <si>
    <t>VERSION</t>
  </si>
  <si>
    <t>RO</t>
  </si>
  <si>
    <t>Identification / control</t>
  </si>
  <si>
    <t>Fixed identification / version code.</t>
  </si>
  <si>
    <t>-</t>
  </si>
  <si>
    <t>0x004</t>
  </si>
  <si>
    <t>CONTROL</t>
  </si>
  <si>
    <t>RW</t>
  </si>
  <si>
    <t>Core enable, loopback and listen-only mode bits.</t>
  </si>
  <si>
    <t>Clearing CAN_ENABLE while a frame is in progress (tx_busy); setting LOOPBACK and LISTEN_ONLY together in one write.</t>
  </si>
  <si>
    <t>5, 6.9</t>
  </si>
  <si>
    <t>0x008</t>
  </si>
  <si>
    <t>STATUS</t>
  </si>
  <si>
    <t>Status</t>
  </si>
  <si>
    <t>Bus busy, TX done, RX FIFO flags, live error pulses, sticky RX overflow.</t>
  </si>
  <si>
    <t>5, 10</t>
  </si>
  <si>
    <t>0x00C</t>
  </si>
  <si>
    <t>ERROR_STATUS</t>
  </si>
  <si>
    <t>Error state, bus-off recovery flag, last latched error / event.</t>
  </si>
  <si>
    <t>5, 6.8</t>
  </si>
  <si>
    <t>0x010</t>
  </si>
  <si>
    <t>BRP</t>
  </si>
  <si>
    <t>Bit timing</t>
  </si>
  <si>
    <t>Baud-rate prescaler: one time quantum = BRP x can_clk periods.</t>
  </si>
  <si>
    <t>Any write while CAN_ENABLE = 1.</t>
  </si>
  <si>
    <t>5, 6.1, 10</t>
  </si>
  <si>
    <t>0x014</t>
  </si>
  <si>
    <t>SEGMENTS</t>
  </si>
  <si>
    <t>PROP_SEG, PHASE_SEG1 and PHASE_SEG2 lengths in time quanta.</t>
  </si>
  <si>
    <t>Whole register rejected while CAN_ENABLE = 1.</t>
  </si>
  <si>
    <t>5, 6.1</t>
  </si>
  <si>
    <t>0x018</t>
  </si>
  <si>
    <t>SJW_CONTROL</t>
  </si>
  <si>
    <t>Synchronization jump width (resynchronization limit).</t>
  </si>
  <si>
    <t>0x01C</t>
  </si>
  <si>
    <t>TX_ID</t>
  </si>
  <si>
    <t>Transmit</t>
  </si>
  <si>
    <t>Identifier of the frame to transmit next (11-bit or 29-bit).</t>
  </si>
  <si>
    <t>5, 6.2</t>
  </si>
  <si>
    <t>0x020</t>
  </si>
  <si>
    <t>TX_CTRL</t>
  </si>
  <si>
    <t>TX frame type bits (IDE, RTR) and data length code.</t>
  </si>
  <si>
    <t>5, 6.2, 10</t>
  </si>
  <si>
    <t>0x024</t>
  </si>
  <si>
    <t>TX_DATA_LO</t>
  </si>
  <si>
    <t>TX data holding register, lower 32 bits.</t>
  </si>
  <si>
    <t>0x028</t>
  </si>
  <si>
    <t>TX_DATA_HI</t>
  </si>
  <si>
    <t>TX data holding register, upper 32 bits.</t>
  </si>
  <si>
    <t>0x02C</t>
  </si>
  <si>
    <t>TX_COMMAND</t>
  </si>
  <si>
    <t>WO</t>
  </si>
  <si>
    <t>Write 1 to submit the staged frame; clears TX_STATUS sticky bits.</t>
  </si>
  <si>
    <t>5</t>
  </si>
  <si>
    <t>0x030</t>
  </si>
  <si>
    <t>TX_STATUS</t>
  </si>
  <si>
    <t>TX pending / busy plus sticky done, ACK received, arbitration lost, error.</t>
  </si>
  <si>
    <t>0x034</t>
  </si>
  <si>
    <t>RX_STATUS</t>
  </si>
  <si>
    <t>Receive</t>
  </si>
  <si>
    <t>RX FIFO count, empty, full and overflow flags.</t>
  </si>
  <si>
    <t>0x038</t>
  </si>
  <si>
    <t>RX_ID</t>
  </si>
  <si>
    <t>Identifier of the frame at the head of the RX FIFO.</t>
  </si>
  <si>
    <t>0x03C</t>
  </si>
  <si>
    <t>RX_CTRL</t>
  </si>
  <si>
    <t>IDE, RTR and DLC of the frame at the head of the RX FIFO.</t>
  </si>
  <si>
    <t>0x040</t>
  </si>
  <si>
    <t>RX_DATA_LO</t>
  </si>
  <si>
    <t>Received data, lower 32 bits (head of RX FIFO).</t>
  </si>
  <si>
    <t>0x044</t>
  </si>
  <si>
    <t>RX_DATA_HI</t>
  </si>
  <si>
    <t>Received data, upper 32 bits (head of RX FIFO).</t>
  </si>
  <si>
    <t>0x048</t>
  </si>
  <si>
    <t>RX_COMMAND</t>
  </si>
  <si>
    <t>Write 1 to discard the head frame and advance the RX FIFO.</t>
  </si>
  <si>
    <t>0x04C</t>
  </si>
  <si>
    <t>FILTER0_ID</t>
  </si>
  <si>
    <t>Acceptance filter</t>
  </si>
  <si>
    <t>Acceptance filter 0: compare value.</t>
  </si>
  <si>
    <t>5, 6.10</t>
  </si>
  <si>
    <t>0x050</t>
  </si>
  <si>
    <t>FILTER0_MASK</t>
  </si>
  <si>
    <t>Acceptance filter 0: mask (1 = compare, 0 = don't care).</t>
  </si>
  <si>
    <t>0x054</t>
  </si>
  <si>
    <t>FILTER0_CTRL</t>
  </si>
  <si>
    <t>Acceptance filter 0: enable and required IDE value.</t>
  </si>
  <si>
    <t>0x058</t>
  </si>
  <si>
    <t>FILTER1_ID</t>
  </si>
  <si>
    <t>Acceptance filter 1: compare value.</t>
  </si>
  <si>
    <t>0x05C</t>
  </si>
  <si>
    <t>FILTER1_MASK</t>
  </si>
  <si>
    <t>Acceptance filter 1: mask (1 = compare, 0 = don't care).</t>
  </si>
  <si>
    <t>0x060</t>
  </si>
  <si>
    <t>FILTER1_CTRL</t>
  </si>
  <si>
    <t>Acceptance filter 1: enable and required IDE value.</t>
  </si>
  <si>
    <t>0x064</t>
  </si>
  <si>
    <t>TEC</t>
  </si>
  <si>
    <t>Error counters</t>
  </si>
  <si>
    <t>Transmit error counter.</t>
  </si>
  <si>
    <t>0x068</t>
  </si>
  <si>
    <t>REC</t>
  </si>
  <si>
    <t>Receive error counter.</t>
  </si>
  <si>
    <t>Summary</t>
  </si>
  <si>
    <t>Registers</t>
  </si>
  <si>
    <t>Read-write (RW)</t>
  </si>
  <si>
    <t>Read-only (RO)</t>
  </si>
  <si>
    <t>Write-only (WO)</t>
  </si>
  <si>
    <t>Defined fields (excluding reserved)</t>
  </si>
  <si>
    <t>Registers locked while CAN_ENABLE = 1</t>
  </si>
  <si>
    <t>Locked: BRP, SEGMENTS, SJW_CONTROL and the six FILTER registers. CONTROL has its own PSLVERR rules (see Rules &amp; Notes).</t>
  </si>
  <si>
    <t>Access colours</t>
  </si>
  <si>
    <t>Bits</t>
  </si>
  <si>
    <t>Field</t>
  </si>
  <si>
    <t>MSB</t>
  </si>
  <si>
    <t>LSB</t>
  </si>
  <si>
    <t>Width</t>
  </si>
  <si>
    <t>Reset</t>
  </si>
  <si>
    <t>Reset value (decimal)</t>
  </si>
  <si>
    <t>Reserved?</t>
  </si>
  <si>
    <t>Notes (Sections 5, 6, 10)</t>
  </si>
  <si>
    <t>31:0</t>
  </si>
  <si>
    <t>0x0100_2001</t>
  </si>
  <si>
    <t>No</t>
  </si>
  <si>
    <t>Fixed, read-only identification / version code. Writes have no effect.</t>
  </si>
  <si>
    <t>0</t>
  </si>
  <si>
    <t>CAN_ENABLE</t>
  </si>
  <si>
    <t>1 = enable the core (bit-timing engine and protocol FSM run); 0 = core held in IDLE / disabled. A write that clears this bit while a frame is in progress (tx_busy) is rejected with PSLVERR and the register is left unchanged.</t>
  </si>
  <si>
    <t>PSLVERR case</t>
  </si>
  <si>
    <t>1</t>
  </si>
  <si>
    <t>LOOPBACK</t>
  </si>
  <si>
    <t>1 = internal loopback mode (Section 6.9).</t>
  </si>
  <si>
    <t>2</t>
  </si>
  <si>
    <t>LISTEN_ONLY</t>
  </si>
  <si>
    <t>1 = listen-only / monitor mode (Section 6.9). A single write that sets LOOPBACK and LISTEN_ONLY together is rejected with PSLVERR and the register is left unchanged.</t>
  </si>
  <si>
    <t>31:3</t>
  </si>
  <si>
    <t>Reserved</t>
  </si>
  <si>
    <t>Yes</t>
  </si>
  <si>
    <t>Reads as 0.</t>
  </si>
  <si>
    <t>TX_BUSY</t>
  </si>
  <si>
    <t>Bus / line busy: a frame (TX or RX) is currently in progress.</t>
  </si>
  <si>
    <t>TX_DONE</t>
  </si>
  <si>
    <t>Sticky: a transmission completed since the last write to TX_COMMAND. Cleared by writing TX_COMMAND (Section 5).</t>
  </si>
  <si>
    <t>Sticky</t>
  </si>
  <si>
    <t>RX_AVAILABLE</t>
  </si>
  <si>
    <t>RX FIFO holds at least one complete frame.</t>
  </si>
  <si>
    <t>3</t>
  </si>
  <si>
    <t>RX_FIFO_FULL</t>
  </si>
  <si>
    <t>RX FIFO is full (pclk-domain flag from the async FIFO).</t>
  </si>
  <si>
    <t>4</t>
  </si>
  <si>
    <t>ARB_LOST</t>
  </si>
  <si>
    <t>Live, single-cycle pulse: arbitration was lost on the most recent can_clk cycle in which it occurred. Not latched (see Section 10).</t>
  </si>
  <si>
    <t>Single-cycle pulse: a polling host can miss it (Section 10)</t>
  </si>
  <si>
    <t>ACK_ERROR</t>
  </si>
  <si>
    <t>Live, single-cycle pulse (not latched).</t>
  </si>
  <si>
    <t>Single-cycle pulse (Section 10)</t>
  </si>
  <si>
    <t>6</t>
  </si>
  <si>
    <t>CRC_ERROR</t>
  </si>
  <si>
    <t>7</t>
  </si>
  <si>
    <t>STUFF_ERROR</t>
  </si>
  <si>
    <t>8</t>
  </si>
  <si>
    <t>FORM_ERROR</t>
  </si>
  <si>
    <t>9</t>
  </si>
  <si>
    <t>BIT_ERROR</t>
  </si>
  <si>
    <t>10</t>
  </si>
  <si>
    <t>RX_OVERFLOW</t>
  </si>
  <si>
    <t>Sticky: the RX FIFO was written while full at least once since reset. Never cleared by hardware (see Section 10).</t>
  </si>
  <si>
    <t>Sticky; cleared only by a CAN_CLK-domain reset (Section 10)</t>
  </si>
  <si>
    <t>31:11</t>
  </si>
  <si>
    <t>1:0</t>
  </si>
  <si>
    <t>ERROR_STATE</t>
  </si>
  <si>
    <t>0 = Error Active, 1 = Error Passive, 2 = Bus Off, 3 = unused.</t>
  </si>
  <si>
    <t>Encoding</t>
  </si>
  <si>
    <t>RECOVERY_ACTIVE</t>
  </si>
  <si>
    <t>1 while the bus-off recovery sequence (Section 6.8) is in progress.</t>
  </si>
  <si>
    <t>LAST_ERROR_VALID</t>
  </si>
  <si>
    <t>1 once at least one error / event has been latched since reset.</t>
  </si>
  <si>
    <t>7:4</t>
  </si>
  <si>
    <t>LAST_ERROR_TYPE</t>
  </si>
  <si>
    <t>Type of the most recently latched error / event: 0 none, 1 bit error, 2 stuff error, 3 CRC error, 4 form error, 5 ACK error, 6 arbitration lost (arbitration loss is recorded as an event, not a CAN error; see Section 6.8).</t>
  </si>
  <si>
    <t>Encoding; records only the single most recent error / event (Section 10)</t>
  </si>
  <si>
    <t>31:8</t>
  </si>
  <si>
    <t>Baud-rate prescaler. One CAN time quantum = BRP x can_clk periods. Rejected with PSLVERR (register unchanged) if CAN_ENABLE = 1. Must be programmed before enabling the core; BRP = 0 is not a valid divide value (Section 6.1, Section 10).</t>
  </si>
  <si>
    <t>PSLVERR when CAN_ENABLE = 1; BRP = 0 is not usable and is not flagged by hardware (Section 10)</t>
  </si>
  <si>
    <t>7:0</t>
  </si>
  <si>
    <t>PROP_SEG</t>
  </si>
  <si>
    <t>Propagation segment length, in time quanta.</t>
  </si>
  <si>
    <t>No hardware range check (Section 10)</t>
  </si>
  <si>
    <t>15:8</t>
  </si>
  <si>
    <t>PHASE_SEG1</t>
  </si>
  <si>
    <t>Phase-buffer segment 1 length, in time quanta.</t>
  </si>
  <si>
    <t>23:16</t>
  </si>
  <si>
    <t>PHASE_SEG2</t>
  </si>
  <si>
    <t>Phase-buffer segment 2 length, in time quanta.</t>
  </si>
  <si>
    <t>31:24</t>
  </si>
  <si>
    <t>Reads as 0. Whole register rejected with PSLVERR (unchanged) if CAN_ENABLE = 1.</t>
  </si>
  <si>
    <t>PSLVERR when CAN_ENABLE = 1 (whole register)</t>
  </si>
  <si>
    <t>3:0</t>
  </si>
  <si>
    <t>SJW</t>
  </si>
  <si>
    <t>Synchronization jump width, in time quanta; caps the per-bit resynchronization correction (Section 6.1). Rejected with PSLVERR (unchanged) if CAN_ENABLE = 1.</t>
  </si>
  <si>
    <t>PSLVERR when CAN_ENABLE = 1; no hardware range check (Section 10)</t>
  </si>
  <si>
    <t>31:4</t>
  </si>
  <si>
    <t>28:0</t>
  </si>
  <si>
    <t>TX_IDENTIFIER</t>
  </si>
  <si>
    <t>Frame identifier to transmit next. When TX_IDE = 0, only bits [10:0] are used (standard 11-bit ID). When TX_IDE = 1, the full 29 bits are used: bits [28:18] are the 11-bit base ID and bits [17:0] are the 18-bit ID extension.</t>
  </si>
  <si>
    <t>TX_IDE</t>
  </si>
  <si>
    <t>0 = standard (11-bit) frame, 1 = extended (29-bit) frame.</t>
  </si>
  <si>
    <t>TX_RTR</t>
  </si>
  <si>
    <t>1 = transmit as a remote frame (no data field driven, regardless of TX_DLC).</t>
  </si>
  <si>
    <t>5:2</t>
  </si>
  <si>
    <t>TX_DLC</t>
  </si>
  <si>
    <t>Data length code in bytes for the frame to transmit. Only values 0-8 are supported.</t>
  </si>
  <si>
    <t>DLC 9-15 is accepted but not clamped by hardware: program 0-8 only (Section 10)</t>
  </si>
  <si>
    <t>31:6</t>
  </si>
  <si>
    <t>TX_DATA[31:0]</t>
  </si>
  <si>
    <t>Lower 32 bits of the 64-bit TX data holding register (Section 6.2 for byte ordering).</t>
  </si>
  <si>
    <t>Byte order: see Rules &amp; Notes</t>
  </si>
  <si>
    <t>TX_DATA[63:32]</t>
  </si>
  <si>
    <t>Upper 32 bits of the 64-bit TX data holding register.</t>
  </si>
  <si>
    <t>TX_START</t>
  </si>
  <si>
    <t>Write 1 to submit the frame currently held in TX_ID / TX_CTRL / TX_DATA for transmission. Self-clearing (reads as 0). Also clears the sticky bits in TX_STATUS (TX_DONE, TX_ACK_RECEIVED, TX_ARBITRATION_LOST, TX_ERROR) as a side effect of starting a new attempt.</t>
  </si>
  <si>
    <t>Self-clearing; clears TX_STATUS sticky bits</t>
  </si>
  <si>
    <t>31:1</t>
  </si>
  <si>
    <t>TX_PENDING</t>
  </si>
  <si>
    <t>A TX has been requested and is queued in the pclk-side CDC handshake, but has not yet been accepted into the CAN-domain TX buffer.</t>
  </si>
  <si>
    <t>Alias of line_busy, synchronized into the pclk domain.</t>
  </si>
  <si>
    <t>Sticky. Cleared by writing TX_COMMAND.</t>
  </si>
  <si>
    <t>TX_ACK_RECEIVED</t>
  </si>
  <si>
    <t>TX_ARBITRATION_LOST</t>
  </si>
  <si>
    <t>TX_ERROR</t>
  </si>
  <si>
    <t>Sticky OR of ACK / CRC / stuff / form / bit error observed during the transmission attempt. Cleared by writing TX_COMMAND.</t>
  </si>
  <si>
    <t>FIFO_COUNT</t>
  </si>
  <si>
    <t>Number of complete frames currently held in the RX FIFO.</t>
  </si>
  <si>
    <t>Port is fixed at 4 bits: meaningful only for FIFO_DEPTH &lt;= 16 (Sections 9, 10)</t>
  </si>
  <si>
    <t>RX_EMPTY</t>
  </si>
  <si>
    <t>Inverse of RX_AVAILABLE.</t>
  </si>
  <si>
    <t>Reset value is 1</t>
  </si>
  <si>
    <t>Same flag as STATUS bit 3.</t>
  </si>
  <si>
    <t>Same sticky flag as STATUS bit 10.</t>
  </si>
  <si>
    <t>RX_IDENTIFIER</t>
  </si>
  <si>
    <t>Identifier of the frame at the head of the RX FIFO, same base / extension convention as TX_ID.</t>
  </si>
  <si>
    <t>RX_IDE</t>
  </si>
  <si>
    <t>IDE bit of the frame at the head of the RX FIFO.</t>
  </si>
  <si>
    <t>RX_RTR</t>
  </si>
  <si>
    <t>RTR bit of the frame at the head of the RX FIFO.</t>
  </si>
  <si>
    <t>RX_DLC</t>
  </si>
  <si>
    <t>DLC of the frame at the head of the RX FIFO.</t>
  </si>
  <si>
    <t>DLC above 8 is not reliably reflected in RX_DATA (Section 10)</t>
  </si>
  <si>
    <t>RX_DATA[31:0]</t>
  </si>
  <si>
    <t>Lower 32 bits of the received-data register for the frame at the head of the RX FIFO.</t>
  </si>
  <si>
    <t>RX_DATA[63:32]</t>
  </si>
  <si>
    <t>Upper 32 bits of the received-data register.</t>
  </si>
  <si>
    <t>RX_POP</t>
  </si>
  <si>
    <t>Write 1 to discard the frame at the head of the RX FIFO and advance to the next frame. Should be written only after RX_ID / RX_CTRL / RX_DATA_* have been read. Self-clearing (reads as 0).</t>
  </si>
  <si>
    <t>Self-clearing</t>
  </si>
  <si>
    <t>Compare value for acceptance filter 0. Rejected with PSLVERR (unchanged) if CAN_ENABLE = 1.</t>
  </si>
  <si>
    <t>PSLVERR when CAN_ENABLE = 1</t>
  </si>
  <si>
    <t>Mask for filter 0: 1 = compare this identifier bit, 0 = don't-care. Rejected with PSLVERR (unchanged) if CAN_ENABLE = 1.</t>
  </si>
  <si>
    <t>FILTER0_ENABLE</t>
  </si>
  <si>
    <t>1 = filter 0 participates in acceptance filtering (Section 6.10).</t>
  </si>
  <si>
    <t>Both filters disabled: every valid frame is accepted (Section 6.10)</t>
  </si>
  <si>
    <t>FILTER0_IDE</t>
  </si>
  <si>
    <t>IDE value a frame must have to match filter 0 (0 = standard, 1 = extended).</t>
  </si>
  <si>
    <t>31:2</t>
  </si>
  <si>
    <t>Compare value for acceptance filter 1. Rejected with PSLVERR (unchanged) if CAN_ENABLE = 1.</t>
  </si>
  <si>
    <t>Mask for filter 1, same semantics as FILTER0_MASK. Rejected with PSLVERR (unchanged) if CAN_ENABLE = 1.</t>
  </si>
  <si>
    <t>FILTER1_ENABLE</t>
  </si>
  <si>
    <t>1 = filter 1 participates in acceptance filtering.</t>
  </si>
  <si>
    <t>FILTER1_IDE</t>
  </si>
  <si>
    <t>IDE value a frame must have to match filter 1.</t>
  </si>
  <si>
    <t>8:0</t>
  </si>
  <si>
    <t>Transmit error counter (Section 6.8).</t>
  </si>
  <si>
    <t>Saturates at 511 (Section 6.8)</t>
  </si>
  <si>
    <t>Receive error counter (Section 6.8).</t>
  </si>
  <si>
    <t>Saturates at 255 (Section 6.8)</t>
  </si>
  <si>
    <t>Reset (text) is the value printed in the spec; Reset value (decimal) is its numeric form used by the Register Map formulas. TX_START and RX_POP are write-only: no reset is listed in the spec and they read as 0.</t>
  </si>
  <si>
    <t>Bit map (bit 31 on the left, bit 0 on the right)</t>
  </si>
  <si>
    <t>RW field</t>
  </si>
  <si>
    <t>RO field</t>
  </si>
  <si>
    <t>WO field</t>
  </si>
  <si>
    <t>Reserved (reads 0)</t>
  </si>
  <si>
    <t>Bits not listed in the spec table</t>
  </si>
  <si>
    <t>not listed</t>
  </si>
  <si>
    <t>Where the spec table lists no field for a bit range (e.g. ID registers above bit 28, TEC above bit 8), the range is shown as not listed rather than assumed reserved.</t>
  </si>
  <si>
    <t>Access rules, encodings and register-related limitations</t>
  </si>
  <si>
    <t>Bus interface rules (Section 5)</t>
  </si>
  <si>
    <t>Topic</t>
  </si>
  <si>
    <t>Rule</t>
  </si>
  <si>
    <t>Source</t>
  </si>
  <si>
    <t>Bus</t>
  </si>
  <si>
    <t>APB4 slave (can_apb_slave), ADDR_WIDTH = 12. All registers are 32 bits wide and word aligned; offsets 0x000 to 0x068 (27 registers).</t>
  </si>
  <si>
    <t>Section 5, 9</t>
  </si>
  <si>
    <t>Write strobes</t>
  </si>
  <si>
    <t>Writes are byte-strobe (PSTRB) qualified.</t>
  </si>
  <si>
    <t>Section 5</t>
  </si>
  <si>
    <t>Wait states</t>
  </si>
  <si>
    <t>PREADY is always asserted in the same cycle (zero-wait-state slave).</t>
  </si>
  <si>
    <t>Section 5, 10</t>
  </si>
  <si>
    <t>Unmapped addresses</t>
  </si>
  <si>
    <t>Read as 0; writes are accepted with no effect and no error.</t>
  </si>
  <si>
    <t>PSLVERR</t>
  </si>
  <si>
    <t>Asserted, and the write discarded (register unchanged), in exactly the cases listed in the next table.</t>
  </si>
  <si>
    <t>Reserved bits</t>
  </si>
  <si>
    <t>Listed as RO and read as 0.</t>
  </si>
  <si>
    <t>Interrupts</t>
  </si>
  <si>
    <t>No interrupt output: all status, error and RX-available information is polled through these registers.</t>
  </si>
  <si>
    <t>Section 10</t>
  </si>
  <si>
    <t>PSLVERR cases (write discarded, register unchanged)</t>
  </si>
  <si>
    <t>Condition</t>
  </si>
  <si>
    <t>A write that clears CAN_ENABLE while a frame is in progress (tx_busy).</t>
  </si>
  <si>
    <t>A single write that sets LOOPBACK and LISTEN_ONLY together.</t>
  </si>
  <si>
    <t>FILTER0_ID, FILTER0_MASK, FILTER0_CTRL</t>
  </si>
  <si>
    <t>Any write while CAN_ENABLE = 1 (CTRL: whole register).</t>
  </si>
  <si>
    <t>Section 5, 6.10</t>
  </si>
  <si>
    <t>FILTER1_ID, FILTER1_MASK, FILTER1_CTRL</t>
  </si>
  <si>
    <t>Encodings</t>
  </si>
  <si>
    <t>ERROR_STATUS.ERROR_STATE</t>
  </si>
  <si>
    <t>ERROR_STATUS.LAST_ERROR_TYPE</t>
  </si>
  <si>
    <t>0 none, 1 bit error, 2 stuff error, 3 CRC error, 4 form error, 5 ACK error, 6 arbitration lost (an event, not a CAN error).</t>
  </si>
  <si>
    <t>Section 5, 6.8</t>
  </si>
  <si>
    <t>TX_ID / RX_ID identifier</t>
  </si>
  <si>
    <t>IDE = 0: bits [10:0] are the standard 11-bit ID. IDE = 1: all 29 bits; [28:18] = 11-bit base ID, [17:0] = 18-bit extension.</t>
  </si>
  <si>
    <t>Acceptance filter mask</t>
  </si>
  <si>
    <t>1 = compare this identifier bit, 0 = don't care. Both filters disabled: every valid frame is accepted; otherwise a frame passes if either enabled filter matches IDE and (ID AND mask).</t>
  </si>
  <si>
    <t>Data byte ordering (Section 6.2)</t>
  </si>
  <si>
    <t>TX_DATA byte order</t>
  </si>
  <si>
    <t>DLC-relative and right-justified in the 64-bit register: for DLC = N, the first byte transmitted is TX_DATA[(8N-1):(8N-8)] and the last byte transmitted is always TX_DATA[7:0].</t>
  </si>
  <si>
    <t>Section 6.2</t>
  </si>
  <si>
    <t>Example</t>
  </si>
  <si>
    <t>DLC = 3: the bytes sent are TX_DATA[23:16], TX_DATA[15:8], TX_DATA[7:0], in that order.</t>
  </si>
  <si>
    <t>RX_DATA byte order</t>
  </si>
  <si>
    <t>Data-byte capture follows the same DLC-relative, right-justified convention as the transmit path.</t>
  </si>
  <si>
    <t>Sticky bits and pulses</t>
  </si>
  <si>
    <t>Bit</t>
  </si>
  <si>
    <t>Behaviour</t>
  </si>
  <si>
    <t>STATUS.TX_DONE, TX_STATUS.TX_DONE / TX_ACK_RECEIVED / TX_ARBITRATION_LOST / TX_ERROR</t>
  </si>
  <si>
    <t>Sticky; cleared by writing TX_COMMAND.TX_START (a write of 1 submits the frame and starts a new attempt).</t>
  </si>
  <si>
    <t>STATUS.RX_OVERFLOW, RX_STATUS.RX_OVERFLOW</t>
  </si>
  <si>
    <t>Sticky; set when a frame arrives while the RX FIFO is full; never cleared by hardware, only by a CAN_CLK-domain reset.</t>
  </si>
  <si>
    <t>STATUS[9:4] (ARB_LOST, ACK_ERROR, CRC_ERROR, STUFF_ERROR, FORM_ERROR, BIT_ERROR)</t>
  </si>
  <si>
    <t>Live single-cycle pulses synchronized into the pclk domain, not latched; a polling host can miss them. ERROR_STATUS.LAST_ERROR_TYPE latches only the single most recent error / event.</t>
  </si>
  <si>
    <t>TX_COMMAND.TX_START, RX_COMMAND.RX_POP</t>
  </si>
  <si>
    <t>Write-only, self-clearing, read as 0. RX_POP should be written only after RX_ID / RX_CTRL / RX_DATA_* have been read.</t>
  </si>
  <si>
    <t>Typical access sequences (derived from the rules above)</t>
  </si>
  <si>
    <t>Task</t>
  </si>
  <si>
    <t>Sequence</t>
  </si>
  <si>
    <t>Basis</t>
  </si>
  <si>
    <t>Configure</t>
  </si>
  <si>
    <t>With CAN_ENABLE = 0: program BRP, SEGMENTS, SJW_CONTROL and the filter registers, then set CAN_ENABLE = 1 (plus LOOPBACK or LISTEN_ONLY if needed, not both).</t>
  </si>
  <si>
    <t>These registers reject writes while CAN_ENABLE = 1; BRP must be programmed before enabling</t>
  </si>
  <si>
    <t>Write TX_ID, TX_CTRL (DLC 0-8), TX_DATA_LO / HI; write 1 to TX_COMMAND.TX_START; poll TX_STATUS for TX_DONE or TX_ERROR before staging the next frame.</t>
  </si>
  <si>
    <t>Single TX descriptor, no queue (Section 10)</t>
  </si>
  <si>
    <t>Poll STATUS.RX_AVAILABLE (or RX_STATUS.RX_EMPTY); read RX_ID, RX_CTRL, RX_DATA_LO / HI; then write 1 to RX_COMMAND.RX_POP.</t>
  </si>
  <si>
    <t>RX_POP only after the reads (Section 5)</t>
  </si>
  <si>
    <t>Error monitoring</t>
  </si>
  <si>
    <t>Poll ERROR_STATUS, TEC and REC; do not rely on the STATUS error pulses.</t>
  </si>
  <si>
    <t>Pulses are not latched (Section 10)</t>
  </si>
  <si>
    <t>Other limitations that affect register use (Section 10)</t>
  </si>
  <si>
    <t>Item</t>
  </si>
  <si>
    <t>Detail</t>
  </si>
  <si>
    <t>BRP = 0</t>
  </si>
  <si>
    <t>Not usable: the divider compares against BRP - 1, giving an effective divide of 2^32. Hardware does not reject or flag it.</t>
  </si>
  <si>
    <t>Bit-timing ranges</t>
  </si>
  <si>
    <t>No hardware range check on PROP_SEG, PHASE_SEG1, PHASE_SEG2 (8-bit) or SJW (4-bit); any value is accepted.</t>
  </si>
  <si>
    <t>TX_DLC 9-15</t>
  </si>
  <si>
    <t>Accepted, but not clamped to 8 bytes and the byte selection beyond 8 is not implemented. Program 0-8 only; treat RX_DLC above 8 as not reliably reflected in RX_DATA.</t>
  </si>
  <si>
    <t>The FIFO count port is fixed at 4 bits, so FIFO_COUNT is meaningful only for FIFO_DEPTH &lt;= 16. Spec default FIFO_DEPTH = 8.</t>
  </si>
  <si>
    <t>Section 9, 10</t>
  </si>
  <si>
    <t>TEC / REC range</t>
  </si>
  <si>
    <t>TEC saturates at 511 and REC at 255 in this implementation.</t>
  </si>
  <si>
    <t>Section 6.8</t>
  </si>
  <si>
    <t>No interrupt</t>
  </si>
  <si>
    <t>Status is register-polled only.</t>
  </si>
  <si>
    <t>Parameters</t>
  </si>
  <si>
    <t>CAN_CLK_FREQ and CAN_BIT_RATE are unused RTL parameters: bit timing is set only by CAN_ENABLE / BRP / SEGMENTS / SJW_CONTROL.</t>
  </si>
  <si>
    <t>Section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</si>
</sst>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charset val="1"/>
    </font>
    <font>
      <b/>
      <sz val="16"/>
      <color rgb="FF12305C"/>
      <name val="Arial"/>
      <charset val="1"/>
    </font>
    <font>
      <i/>
      <sz val="9"/>
      <color rgb="FF595959"/>
      <name val="Arial"/>
      <charset val="1"/>
    </font>
    <font>
      <b/>
      <sz val="10"/>
      <color rgb="FFFFFFFF"/>
      <name val="Arial"/>
      <charset val="1"/>
    </font>
    <font>
      <sz val="10"/>
      <name val="Courier New"/>
      <charset val="1"/>
    </font>
    <font>
      <b/>
      <sz val="10"/>
      <color rgb="FF000000"/>
      <name val="Arial"/>
      <charset val="1"/>
    </font>
    <font>
      <sz val="10"/>
      <color rgb="FF000000"/>
      <name val="Arial"/>
      <charset val="1"/>
    </font>
    <font>
      <b/>
      <sz val="11"/>
      <color rgb="FF12305C"/>
      <name val="Arial"/>
      <charset val="1"/>
    </font>
    <font>
      <b/>
      <sz val="10"/>
      <color rgb="FF12305C"/>
      <name val="Arial"/>
      <charset val="1"/>
    </font>
    <font>
      <sz val="10"/>
      <color rgb="FF000000"/>
      <name val="Courier New"/>
      <charset val="1"/>
    </font>
    <font>
      <sz val="10"/>
      <color rgb="FF7A8CA5"/>
      <name val="Courier New"/>
      <charset val="1"/>
    </font>
    <font>
      <sz val="10"/>
      <color rgb="FF7A8CA5"/>
      <name val="Arial"/>
      <charset val="1"/>
    </font>
    <font>
      <i/>
      <sz val="10"/>
      <color rgb="FF7A8CA5"/>
      <name val="Arial"/>
      <charset val="1"/>
    </font>
    <font>
      <b/>
      <sz val="14"/>
      <color rgb="FF12305C"/>
      <name val="Arial"/>
      <charset val="1"/>
    </font>
    <font>
      <sz val="9"/>
      <color rgb="FF000000"/>
      <name val="Arial"/>
      <charset val="1"/>
    </font>
    <font>
      <sz val="9"/>
      <name val="Courier New"/>
      <charset val="1"/>
    </font>
    <font>
      <b/>
      <sz val="9"/>
      <color rgb="FF000000"/>
      <name val="Arial"/>
      <charset val="1"/>
    </font>
    <font>
      <b/>
      <sz val="8"/>
      <color rgb="FF000000"/>
      <name val="Arial"/>
      <charset val="1"/>
    </font>
    <font>
      <i/>
      <sz val="8"/>
      <color rgb="FF000000"/>
      <name val="Arial"/>
      <charset val="1"/>
    </font>
    <font>
      <i/>
      <sz val="8"/>
      <color rgb="FF7A8CA5"/>
      <name val="Arial"/>
      <charset val="1"/>
    </font>
    <font>
      <b/>
      <sz val="12"/>
      <color rgb="FF0E7C86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12305C"/>
        <bgColor rgb="FF333333"/>
      </patternFill>
    </fill>
    <fill>
      <patternFill patternType="solid">
        <fgColor rgb="FFDCE8F8"/>
        <bgColor rgb="FFDDF1E4"/>
      </patternFill>
    </fill>
    <fill>
      <patternFill patternType="solid">
        <fgColor rgb="FFDDF1E4"/>
        <bgColor rgb="FFDCE8F8"/>
      </patternFill>
    </fill>
    <fill>
      <patternFill patternType="solid">
        <fgColor rgb="FFFFEFC7"/>
        <bgColor rgb="FFF7F7F7"/>
      </patternFill>
    </fill>
    <fill>
      <patternFill patternType="solid">
        <fgColor rgb="FFECEFF3"/>
        <bgColor rgb="FFF7F7F7"/>
      </patternFill>
    </fill>
    <fill>
      <patternFill patternType="solid">
        <fgColor rgb="FFF7F7F7"/>
        <bgColor rgb="FFFFFFFF"/>
      </patternFill>
    </fill>
  </fills>
  <borders count="3">
    <border>
      <left/>
      <right/>
      <top/>
      <bottom/>
      <diagonal/>
    </border>
    <border>
      <left style="thin">
        <color rgb="FFB8C4D6"/>
      </left>
      <right style="thin">
        <color rgb="FFB8C4D6"/>
      </right>
      <top style="thin">
        <color rgb="FFB8C4D6"/>
      </top>
      <bottom style="thin">
        <color rgb="FFB8C4D6"/>
      </bottom>
      <diagonal/>
    </border>
    <border>
      <left style="thin">
        <color rgb="FFB8C4D6"/>
      </left>
      <right style="thin">
        <color rgb="FFB8C4D6"/>
      </right>
      <top style="medium">
        <color rgb="FF12305C"/>
      </top>
      <bottom style="thin">
        <color rgb="FFB8C4D6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7" fillId="3" borderId="1" xfId="0" applyFont="1" applyFill="1" applyBorder="1" applyAlignment="1">
      <alignment horizontal="center" vertical="center" textRotation="90" wrapText="1"/>
    </xf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6" fillId="3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6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 applyAlignment="1">
      <alignment horizontal="center"/>
    </xf>
    <xf numFmtId="0" fontId="8" fillId="0" borderId="0" xfId="0" applyFont="1"/>
    <xf numFmtId="0" fontId="5" fillId="4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horizontal="left" vertical="top"/>
    </xf>
    <xf numFmtId="0" fontId="6" fillId="0" borderId="1" xfId="0" applyFont="1" applyBorder="1" applyAlignment="1">
      <alignment horizontal="center" vertical="top"/>
    </xf>
    <xf numFmtId="0" fontId="6" fillId="3" borderId="1" xfId="0" applyFont="1" applyFill="1" applyBorder="1" applyAlignment="1">
      <alignment horizontal="center" vertical="top"/>
    </xf>
    <xf numFmtId="0" fontId="6" fillId="0" borderId="1" xfId="0" applyFont="1" applyBorder="1" applyAlignment="1">
      <alignment horizontal="left" vertical="top" wrapText="1"/>
    </xf>
    <xf numFmtId="0" fontId="9" fillId="0" borderId="2" xfId="0" applyFont="1" applyBorder="1" applyAlignment="1">
      <alignment horizontal="center" vertical="top"/>
    </xf>
    <xf numFmtId="0" fontId="5" fillId="0" borderId="2" xfId="0" applyFont="1" applyBorder="1" applyAlignment="1">
      <alignment horizontal="left" vertical="top"/>
    </xf>
    <xf numFmtId="0" fontId="6" fillId="0" borderId="2" xfId="0" applyFont="1" applyBorder="1" applyAlignment="1">
      <alignment horizontal="center" vertical="top"/>
    </xf>
    <xf numFmtId="0" fontId="6" fillId="4" borderId="2" xfId="0" applyFont="1" applyFill="1" applyBorder="1" applyAlignment="1">
      <alignment horizontal="center" vertical="top"/>
    </xf>
    <xf numFmtId="0" fontId="6" fillId="0" borderId="2" xfId="0" applyFont="1" applyBorder="1" applyAlignment="1">
      <alignment horizontal="left" vertical="top" wrapText="1"/>
    </xf>
    <xf numFmtId="0" fontId="6" fillId="4" borderId="1" xfId="0" applyFont="1" applyFill="1" applyBorder="1" applyAlignment="1">
      <alignment horizontal="center" vertical="top"/>
    </xf>
    <xf numFmtId="0" fontId="10" fillId="0" borderId="1" xfId="0" applyFont="1" applyBorder="1" applyAlignment="1">
      <alignment horizontal="center" vertical="top"/>
    </xf>
    <xf numFmtId="0" fontId="11" fillId="0" borderId="1" xfId="0" applyFont="1" applyBorder="1" applyAlignment="1">
      <alignment horizontal="left" vertical="top"/>
    </xf>
    <xf numFmtId="0" fontId="12" fillId="0" borderId="1" xfId="0" applyFont="1" applyBorder="1" applyAlignment="1">
      <alignment horizontal="left" vertical="top"/>
    </xf>
    <xf numFmtId="0" fontId="11" fillId="0" borderId="1" xfId="0" applyFont="1" applyBorder="1" applyAlignment="1">
      <alignment horizontal="center" vertical="top"/>
    </xf>
    <xf numFmtId="0" fontId="11" fillId="6" borderId="1" xfId="0" applyFont="1" applyFill="1" applyBorder="1" applyAlignment="1">
      <alignment horizontal="center" vertical="top"/>
    </xf>
    <xf numFmtId="0" fontId="11" fillId="0" borderId="1" xfId="0" applyFont="1" applyBorder="1" applyAlignment="1">
      <alignment horizontal="left" vertical="top" wrapText="1"/>
    </xf>
    <xf numFmtId="0" fontId="6" fillId="3" borderId="2" xfId="0" applyFont="1" applyFill="1" applyBorder="1" applyAlignment="1">
      <alignment horizontal="center" vertical="top"/>
    </xf>
    <xf numFmtId="0" fontId="6" fillId="5" borderId="2" xfId="0" applyFont="1" applyFill="1" applyBorder="1" applyAlignment="1">
      <alignment horizontal="center" vertical="top"/>
    </xf>
    <xf numFmtId="0" fontId="13" fillId="0" borderId="0" xfId="0" applyFont="1"/>
    <xf numFmtId="0" fontId="3" fillId="2" borderId="1" xfId="0" applyFont="1" applyFill="1" applyBorder="1" applyAlignment="1">
      <alignment horizontal="center"/>
    </xf>
    <xf numFmtId="0" fontId="15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vertical="center" wrapText="1"/>
    </xf>
    <xf numFmtId="0" fontId="17" fillId="4" borderId="1" xfId="0" applyFont="1" applyFill="1" applyBorder="1" applyAlignment="1">
      <alignment horizontal="center" vertical="center" textRotation="90" wrapText="1"/>
    </xf>
    <xf numFmtId="0" fontId="17" fillId="5" borderId="1" xfId="0" applyFont="1" applyFill="1" applyBorder="1" applyAlignment="1">
      <alignment horizontal="center" vertical="center" textRotation="90" wrapText="1"/>
    </xf>
    <xf numFmtId="0" fontId="20" fillId="0" borderId="0" xfId="0" applyFont="1"/>
    <xf numFmtId="0" fontId="3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6" fillId="0" borderId="0" xfId="0" applyFont="1"/>
    <xf numFmtId="0" fontId="14" fillId="4" borderId="1" xfId="0" applyFont="1" applyFill="1" applyBorder="1" applyAlignment="1">
      <alignment horizontal="center"/>
    </xf>
    <xf numFmtId="0" fontId="14" fillId="3" borderId="1" xfId="0" applyFont="1" applyFill="1" applyBorder="1" applyAlignment="1">
      <alignment horizontal="center"/>
    </xf>
    <xf numFmtId="0" fontId="14" fillId="5" borderId="1" xfId="0" applyFont="1" applyFill="1" applyBorder="1" applyAlignment="1">
      <alignment horizontal="center"/>
    </xf>
    <xf numFmtId="0" fontId="14" fillId="6" borderId="1" xfId="0" applyFont="1" applyFill="1" applyBorder="1" applyAlignment="1">
      <alignment horizontal="center"/>
    </xf>
    <xf numFmtId="0" fontId="14" fillId="7" borderId="1" xfId="0" applyFont="1" applyFill="1" applyBorder="1" applyAlignment="1">
      <alignment horizontal="center"/>
    </xf>
    <xf numFmtId="0" fontId="17" fillId="3" borderId="1" xfId="0" applyFont="1" applyFill="1" applyBorder="1" applyAlignment="1">
      <alignment horizontal="center" vertical="center" wrapText="1"/>
    </xf>
    <xf numFmtId="0" fontId="18" fillId="6" borderId="1" xfId="0" applyFont="1" applyFill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center" vertical="center" textRotation="90" wrapText="1"/>
    </xf>
    <xf numFmtId="0" fontId="17" fillId="4" borderId="1" xfId="0" applyFont="1" applyFill="1" applyBorder="1" applyAlignment="1">
      <alignment horizontal="center" vertical="center" wrapText="1"/>
    </xf>
    <xf numFmtId="0" fontId="19" fillId="7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E7C86"/>
      <rgbColor rgb="FFB8C4D6"/>
      <rgbColor rgb="FF7A8CA5"/>
      <rgbColor rgb="FF9999FF"/>
      <rgbColor rgb="FF993366"/>
      <rgbColor rgb="FFFFEFC7"/>
      <rgbColor rgb="FFDCE8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CEFF3"/>
      <rgbColor rgb="FFDDF1E4"/>
      <rgbColor rgb="FFF7F7F7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2305C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47"/>
  <sheetViews>
    <sheetView showGridLines="0" tabSelected="1"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M15" sqref="M15"/>
    </sheetView>
  </sheetViews>
  <sheetFormatPr defaultColWidth="8.7109375" defaultRowHeight="15" x14ac:dyDescent="0.25"/>
  <cols>
    <col min="1" max="1" width="9" customWidth="1"/>
    <col min="2" max="2" width="18" customWidth="1"/>
    <col min="3" max="3" width="8" customWidth="1"/>
    <col min="4" max="4" width="22" customWidth="1"/>
    <col min="5" max="5" width="13" customWidth="1"/>
    <col min="6" max="6" width="8" customWidth="1"/>
    <col min="7" max="7" width="60" customWidth="1"/>
    <col min="8" max="8" width="52" customWidth="1"/>
    <col min="9" max="9" width="12" customWidth="1"/>
  </cols>
  <sheetData>
    <row r="1" spans="1:9" ht="20.25" x14ac:dyDescent="0.3">
      <c r="A1" s="2" t="s">
        <v>0</v>
      </c>
    </row>
    <row r="2" spans="1:9" x14ac:dyDescent="0.25">
      <c r="A2" s="3" t="s">
        <v>1</v>
      </c>
    </row>
    <row r="3" spans="1:9" x14ac:dyDescent="0.25">
      <c r="A3" s="3" t="s">
        <v>2</v>
      </c>
    </row>
    <row r="5" spans="1:9" ht="24" customHeight="1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</row>
    <row r="6" spans="1:9" ht="30" customHeight="1" x14ac:dyDescent="0.25">
      <c r="A6" s="5" t="s">
        <v>12</v>
      </c>
      <c r="B6" s="6" t="s">
        <v>13</v>
      </c>
      <c r="C6" s="7" t="s">
        <v>14</v>
      </c>
      <c r="D6" s="8" t="s">
        <v>15</v>
      </c>
      <c r="E6" s="5" t="str">
        <f>"0x"&amp;DEC2HEX(SUMPRODUCT((Fields!$A$2:$A$72=$A6)*Fields!$J$2:$J$72*2^Fields!$F$2:$F$72),8)</f>
        <v>0x01002001</v>
      </c>
      <c r="F6" s="9">
        <f>COUNTIFS(Fields!$A$2:$A$72,$A6,Fields!$K$2:$K$72,"No")</f>
        <v>1</v>
      </c>
      <c r="G6" s="10" t="s">
        <v>16</v>
      </c>
      <c r="H6" s="10" t="s">
        <v>17</v>
      </c>
      <c r="I6" s="9" t="s">
        <v>17</v>
      </c>
    </row>
    <row r="7" spans="1:9" ht="30" customHeight="1" x14ac:dyDescent="0.25">
      <c r="A7" s="5" t="s">
        <v>18</v>
      </c>
      <c r="B7" s="6" t="s">
        <v>19</v>
      </c>
      <c r="C7" s="11" t="s">
        <v>20</v>
      </c>
      <c r="D7" s="8" t="s">
        <v>15</v>
      </c>
      <c r="E7" s="5" t="str">
        <f>"0x"&amp;DEC2HEX(SUMPRODUCT((Fields!$A$2:$A$72=$A7)*Fields!$J$2:$J$72*2^Fields!$F$2:$F$72),8)</f>
        <v>0x00000000</v>
      </c>
      <c r="F7" s="9">
        <f>COUNTIFS(Fields!$A$2:$A$72,$A7,Fields!$K$2:$K$72,"No")</f>
        <v>3</v>
      </c>
      <c r="G7" s="10" t="s">
        <v>21</v>
      </c>
      <c r="H7" s="10" t="s">
        <v>22</v>
      </c>
      <c r="I7" s="9" t="s">
        <v>23</v>
      </c>
    </row>
    <row r="8" spans="1:9" ht="30" customHeight="1" x14ac:dyDescent="0.25">
      <c r="A8" s="5" t="s">
        <v>24</v>
      </c>
      <c r="B8" s="6" t="s">
        <v>25</v>
      </c>
      <c r="C8" s="7" t="s">
        <v>14</v>
      </c>
      <c r="D8" s="8" t="s">
        <v>26</v>
      </c>
      <c r="E8" s="5" t="str">
        <f>"0x"&amp;DEC2HEX(SUMPRODUCT((Fields!$A$2:$A$72=$A8)*Fields!$J$2:$J$72*2^Fields!$F$2:$F$72),8)</f>
        <v>0x00000000</v>
      </c>
      <c r="F8" s="9">
        <f>COUNTIFS(Fields!$A$2:$A$72,$A8,Fields!$K$2:$K$72,"No")</f>
        <v>11</v>
      </c>
      <c r="G8" s="10" t="s">
        <v>27</v>
      </c>
      <c r="H8" s="10" t="s">
        <v>17</v>
      </c>
      <c r="I8" s="9" t="s">
        <v>28</v>
      </c>
    </row>
    <row r="9" spans="1:9" ht="30" customHeight="1" x14ac:dyDescent="0.25">
      <c r="A9" s="5" t="s">
        <v>29</v>
      </c>
      <c r="B9" s="6" t="s">
        <v>30</v>
      </c>
      <c r="C9" s="7" t="s">
        <v>14</v>
      </c>
      <c r="D9" s="8" t="s">
        <v>26</v>
      </c>
      <c r="E9" s="5" t="str">
        <f>"0x"&amp;DEC2HEX(SUMPRODUCT((Fields!$A$2:$A$72=$A9)*Fields!$J$2:$J$72*2^Fields!$F$2:$F$72),8)</f>
        <v>0x00000000</v>
      </c>
      <c r="F9" s="9">
        <f>COUNTIFS(Fields!$A$2:$A$72,$A9,Fields!$K$2:$K$72,"No")</f>
        <v>4</v>
      </c>
      <c r="G9" s="10" t="s">
        <v>31</v>
      </c>
      <c r="H9" s="10" t="s">
        <v>17</v>
      </c>
      <c r="I9" s="9" t="s">
        <v>32</v>
      </c>
    </row>
    <row r="10" spans="1:9" ht="30" customHeight="1" x14ac:dyDescent="0.25">
      <c r="A10" s="5" t="s">
        <v>33</v>
      </c>
      <c r="B10" s="6" t="s">
        <v>34</v>
      </c>
      <c r="C10" s="11" t="s">
        <v>20</v>
      </c>
      <c r="D10" s="8" t="s">
        <v>35</v>
      </c>
      <c r="E10" s="5" t="str">
        <f>"0x"&amp;DEC2HEX(SUMPRODUCT((Fields!$A$2:$A$72=$A10)*Fields!$J$2:$J$72*2^Fields!$F$2:$F$72),8)</f>
        <v>0x00000000</v>
      </c>
      <c r="F10" s="9">
        <f>COUNTIFS(Fields!$A$2:$A$72,$A10,Fields!$K$2:$K$72,"No")</f>
        <v>1</v>
      </c>
      <c r="G10" s="10" t="s">
        <v>36</v>
      </c>
      <c r="H10" s="10" t="s">
        <v>37</v>
      </c>
      <c r="I10" s="9" t="s">
        <v>38</v>
      </c>
    </row>
    <row r="11" spans="1:9" ht="30" customHeight="1" x14ac:dyDescent="0.25">
      <c r="A11" s="5" t="s">
        <v>39</v>
      </c>
      <c r="B11" s="6" t="s">
        <v>40</v>
      </c>
      <c r="C11" s="11" t="s">
        <v>20</v>
      </c>
      <c r="D11" s="8" t="s">
        <v>35</v>
      </c>
      <c r="E11" s="5" t="str">
        <f>"0x"&amp;DEC2HEX(SUMPRODUCT((Fields!$A$2:$A$72=$A11)*Fields!$J$2:$J$72*2^Fields!$F$2:$F$72),8)</f>
        <v>0x00000000</v>
      </c>
      <c r="F11" s="9">
        <f>COUNTIFS(Fields!$A$2:$A$72,$A11,Fields!$K$2:$K$72,"No")</f>
        <v>3</v>
      </c>
      <c r="G11" s="10" t="s">
        <v>41</v>
      </c>
      <c r="H11" s="10" t="s">
        <v>42</v>
      </c>
      <c r="I11" s="9" t="s">
        <v>43</v>
      </c>
    </row>
    <row r="12" spans="1:9" ht="30" customHeight="1" x14ac:dyDescent="0.25">
      <c r="A12" s="5" t="s">
        <v>44</v>
      </c>
      <c r="B12" s="6" t="s">
        <v>45</v>
      </c>
      <c r="C12" s="11" t="s">
        <v>20</v>
      </c>
      <c r="D12" s="8" t="s">
        <v>35</v>
      </c>
      <c r="E12" s="5" t="str">
        <f>"0x"&amp;DEC2HEX(SUMPRODUCT((Fields!$A$2:$A$72=$A12)*Fields!$J$2:$J$72*2^Fields!$F$2:$F$72),8)</f>
        <v>0x00000000</v>
      </c>
      <c r="F12" s="9">
        <f>COUNTIFS(Fields!$A$2:$A$72,$A12,Fields!$K$2:$K$72,"No")</f>
        <v>1</v>
      </c>
      <c r="G12" s="10" t="s">
        <v>46</v>
      </c>
      <c r="H12" s="10" t="s">
        <v>37</v>
      </c>
      <c r="I12" s="9" t="s">
        <v>43</v>
      </c>
    </row>
    <row r="13" spans="1:9" ht="30" customHeight="1" x14ac:dyDescent="0.25">
      <c r="A13" s="5" t="s">
        <v>47</v>
      </c>
      <c r="B13" s="6" t="s">
        <v>48</v>
      </c>
      <c r="C13" s="11" t="s">
        <v>20</v>
      </c>
      <c r="D13" s="8" t="s">
        <v>49</v>
      </c>
      <c r="E13" s="5" t="str">
        <f>"0x"&amp;DEC2HEX(SUMPRODUCT((Fields!$A$2:$A$72=$A13)*Fields!$J$2:$J$72*2^Fields!$F$2:$F$72),8)</f>
        <v>0x00000000</v>
      </c>
      <c r="F13" s="9">
        <f>COUNTIFS(Fields!$A$2:$A$72,$A13,Fields!$K$2:$K$72,"No")</f>
        <v>1</v>
      </c>
      <c r="G13" s="10" t="s">
        <v>50</v>
      </c>
      <c r="H13" s="10" t="s">
        <v>17</v>
      </c>
      <c r="I13" s="9" t="s">
        <v>51</v>
      </c>
    </row>
    <row r="14" spans="1:9" ht="30" customHeight="1" x14ac:dyDescent="0.25">
      <c r="A14" s="5" t="s">
        <v>52</v>
      </c>
      <c r="B14" s="6" t="s">
        <v>53</v>
      </c>
      <c r="C14" s="11" t="s">
        <v>20</v>
      </c>
      <c r="D14" s="8" t="s">
        <v>49</v>
      </c>
      <c r="E14" s="5" t="str">
        <f>"0x"&amp;DEC2HEX(SUMPRODUCT((Fields!$A$2:$A$72=$A14)*Fields!$J$2:$J$72*2^Fields!$F$2:$F$72),8)</f>
        <v>0x00000000</v>
      </c>
      <c r="F14" s="9">
        <f>COUNTIFS(Fields!$A$2:$A$72,$A14,Fields!$K$2:$K$72,"No")</f>
        <v>3</v>
      </c>
      <c r="G14" s="10" t="s">
        <v>54</v>
      </c>
      <c r="H14" s="10" t="s">
        <v>17</v>
      </c>
      <c r="I14" s="9" t="s">
        <v>55</v>
      </c>
    </row>
    <row r="15" spans="1:9" ht="30" customHeight="1" x14ac:dyDescent="0.25">
      <c r="A15" s="5" t="s">
        <v>56</v>
      </c>
      <c r="B15" s="6" t="s">
        <v>57</v>
      </c>
      <c r="C15" s="11" t="s">
        <v>20</v>
      </c>
      <c r="D15" s="8" t="s">
        <v>49</v>
      </c>
      <c r="E15" s="5" t="str">
        <f>"0x"&amp;DEC2HEX(SUMPRODUCT((Fields!$A$2:$A$72=$A15)*Fields!$J$2:$J$72*2^Fields!$F$2:$F$72),8)</f>
        <v>0x00000000</v>
      </c>
      <c r="F15" s="9">
        <f>COUNTIFS(Fields!$A$2:$A$72,$A15,Fields!$K$2:$K$72,"No")</f>
        <v>1</v>
      </c>
      <c r="G15" s="10" t="s">
        <v>58</v>
      </c>
      <c r="H15" s="10" t="s">
        <v>17</v>
      </c>
      <c r="I15" s="9" t="s">
        <v>51</v>
      </c>
    </row>
    <row r="16" spans="1:9" ht="30" customHeight="1" x14ac:dyDescent="0.25">
      <c r="A16" s="5" t="s">
        <v>59</v>
      </c>
      <c r="B16" s="6" t="s">
        <v>60</v>
      </c>
      <c r="C16" s="11" t="s">
        <v>20</v>
      </c>
      <c r="D16" s="8" t="s">
        <v>49</v>
      </c>
      <c r="E16" s="5" t="str">
        <f>"0x"&amp;DEC2HEX(SUMPRODUCT((Fields!$A$2:$A$72=$A16)*Fields!$J$2:$J$72*2^Fields!$F$2:$F$72),8)</f>
        <v>0x00000000</v>
      </c>
      <c r="F16" s="9">
        <f>COUNTIFS(Fields!$A$2:$A$72,$A16,Fields!$K$2:$K$72,"No")</f>
        <v>1</v>
      </c>
      <c r="G16" s="10" t="s">
        <v>61</v>
      </c>
      <c r="H16" s="10" t="s">
        <v>17</v>
      </c>
      <c r="I16" s="9" t="s">
        <v>51</v>
      </c>
    </row>
    <row r="17" spans="1:9" ht="30" customHeight="1" x14ac:dyDescent="0.25">
      <c r="A17" s="5" t="s">
        <v>62</v>
      </c>
      <c r="B17" s="6" t="s">
        <v>63</v>
      </c>
      <c r="C17" s="12" t="s">
        <v>64</v>
      </c>
      <c r="D17" s="8" t="s">
        <v>49</v>
      </c>
      <c r="E17" s="5" t="str">
        <f>"0x"&amp;DEC2HEX(SUMPRODUCT((Fields!$A$2:$A$72=$A17)*Fields!$J$2:$J$72*2^Fields!$F$2:$F$72),8)</f>
        <v>0x00000000</v>
      </c>
      <c r="F17" s="9">
        <f>COUNTIFS(Fields!$A$2:$A$72,$A17,Fields!$K$2:$K$72,"No")</f>
        <v>1</v>
      </c>
      <c r="G17" s="10" t="s">
        <v>65</v>
      </c>
      <c r="H17" s="10" t="s">
        <v>17</v>
      </c>
      <c r="I17" s="9" t="s">
        <v>66</v>
      </c>
    </row>
    <row r="18" spans="1:9" ht="30" customHeight="1" x14ac:dyDescent="0.25">
      <c r="A18" s="5" t="s">
        <v>67</v>
      </c>
      <c r="B18" s="6" t="s">
        <v>68</v>
      </c>
      <c r="C18" s="7" t="s">
        <v>14</v>
      </c>
      <c r="D18" s="8" t="s">
        <v>49</v>
      </c>
      <c r="E18" s="5" t="str">
        <f>"0x"&amp;DEC2HEX(SUMPRODUCT((Fields!$A$2:$A$72=$A18)*Fields!$J$2:$J$72*2^Fields!$F$2:$F$72),8)</f>
        <v>0x00000000</v>
      </c>
      <c r="F18" s="9">
        <f>COUNTIFS(Fields!$A$2:$A$72,$A18,Fields!$K$2:$K$72,"No")</f>
        <v>6</v>
      </c>
      <c r="G18" s="10" t="s">
        <v>69</v>
      </c>
      <c r="H18" s="10" t="s">
        <v>17</v>
      </c>
      <c r="I18" s="9" t="s">
        <v>66</v>
      </c>
    </row>
    <row r="19" spans="1:9" ht="30" customHeight="1" x14ac:dyDescent="0.25">
      <c r="A19" s="5" t="s">
        <v>70</v>
      </c>
      <c r="B19" s="6" t="s">
        <v>71</v>
      </c>
      <c r="C19" s="7" t="s">
        <v>14</v>
      </c>
      <c r="D19" s="8" t="s">
        <v>72</v>
      </c>
      <c r="E19" s="5" t="str">
        <f>"0x"&amp;DEC2HEX(SUMPRODUCT((Fields!$A$2:$A$72=$A19)*Fields!$J$2:$J$72*2^Fields!$F$2:$F$72),8)</f>
        <v>0x00000100</v>
      </c>
      <c r="F19" s="9">
        <f>COUNTIFS(Fields!$A$2:$A$72,$A19,Fields!$K$2:$K$72,"No")</f>
        <v>4</v>
      </c>
      <c r="G19" s="10" t="s">
        <v>73</v>
      </c>
      <c r="H19" s="10" t="s">
        <v>17</v>
      </c>
      <c r="I19" s="9" t="s">
        <v>28</v>
      </c>
    </row>
    <row r="20" spans="1:9" ht="30" customHeight="1" x14ac:dyDescent="0.25">
      <c r="A20" s="5" t="s">
        <v>74</v>
      </c>
      <c r="B20" s="6" t="s">
        <v>75</v>
      </c>
      <c r="C20" s="7" t="s">
        <v>14</v>
      </c>
      <c r="D20" s="8" t="s">
        <v>72</v>
      </c>
      <c r="E20" s="5" t="str">
        <f>"0x"&amp;DEC2HEX(SUMPRODUCT((Fields!$A$2:$A$72=$A20)*Fields!$J$2:$J$72*2^Fields!$F$2:$F$72),8)</f>
        <v>0x00000000</v>
      </c>
      <c r="F20" s="9">
        <f>COUNTIFS(Fields!$A$2:$A$72,$A20,Fields!$K$2:$K$72,"No")</f>
        <v>1</v>
      </c>
      <c r="G20" s="10" t="s">
        <v>76</v>
      </c>
      <c r="H20" s="10" t="s">
        <v>17</v>
      </c>
      <c r="I20" s="9" t="s">
        <v>66</v>
      </c>
    </row>
    <row r="21" spans="1:9" ht="30" customHeight="1" x14ac:dyDescent="0.25">
      <c r="A21" s="5" t="s">
        <v>77</v>
      </c>
      <c r="B21" s="6" t="s">
        <v>78</v>
      </c>
      <c r="C21" s="7" t="s">
        <v>14</v>
      </c>
      <c r="D21" s="8" t="s">
        <v>72</v>
      </c>
      <c r="E21" s="5" t="str">
        <f>"0x"&amp;DEC2HEX(SUMPRODUCT((Fields!$A$2:$A$72=$A21)*Fields!$J$2:$J$72*2^Fields!$F$2:$F$72),8)</f>
        <v>0x00000000</v>
      </c>
      <c r="F21" s="9">
        <f>COUNTIFS(Fields!$A$2:$A$72,$A21,Fields!$K$2:$K$72,"No")</f>
        <v>3</v>
      </c>
      <c r="G21" s="10" t="s">
        <v>79</v>
      </c>
      <c r="H21" s="10" t="s">
        <v>17</v>
      </c>
      <c r="I21" s="9" t="s">
        <v>66</v>
      </c>
    </row>
    <row r="22" spans="1:9" ht="30" customHeight="1" x14ac:dyDescent="0.25">
      <c r="A22" s="5" t="s">
        <v>80</v>
      </c>
      <c r="B22" s="6" t="s">
        <v>81</v>
      </c>
      <c r="C22" s="7" t="s">
        <v>14</v>
      </c>
      <c r="D22" s="8" t="s">
        <v>72</v>
      </c>
      <c r="E22" s="5" t="str">
        <f>"0x"&amp;DEC2HEX(SUMPRODUCT((Fields!$A$2:$A$72=$A22)*Fields!$J$2:$J$72*2^Fields!$F$2:$F$72),8)</f>
        <v>0x00000000</v>
      </c>
      <c r="F22" s="9">
        <f>COUNTIFS(Fields!$A$2:$A$72,$A22,Fields!$K$2:$K$72,"No")</f>
        <v>1</v>
      </c>
      <c r="G22" s="10" t="s">
        <v>82</v>
      </c>
      <c r="H22" s="10" t="s">
        <v>17</v>
      </c>
      <c r="I22" s="9" t="s">
        <v>66</v>
      </c>
    </row>
    <row r="23" spans="1:9" ht="30" customHeight="1" x14ac:dyDescent="0.25">
      <c r="A23" s="5" t="s">
        <v>83</v>
      </c>
      <c r="B23" s="6" t="s">
        <v>84</v>
      </c>
      <c r="C23" s="7" t="s">
        <v>14</v>
      </c>
      <c r="D23" s="8" t="s">
        <v>72</v>
      </c>
      <c r="E23" s="5" t="str">
        <f>"0x"&amp;DEC2HEX(SUMPRODUCT((Fields!$A$2:$A$72=$A23)*Fields!$J$2:$J$72*2^Fields!$F$2:$F$72),8)</f>
        <v>0x00000000</v>
      </c>
      <c r="F23" s="9">
        <f>COUNTIFS(Fields!$A$2:$A$72,$A23,Fields!$K$2:$K$72,"No")</f>
        <v>1</v>
      </c>
      <c r="G23" s="10" t="s">
        <v>85</v>
      </c>
      <c r="H23" s="10" t="s">
        <v>17</v>
      </c>
      <c r="I23" s="9" t="s">
        <v>66</v>
      </c>
    </row>
    <row r="24" spans="1:9" ht="30" customHeight="1" x14ac:dyDescent="0.25">
      <c r="A24" s="5" t="s">
        <v>86</v>
      </c>
      <c r="B24" s="6" t="s">
        <v>87</v>
      </c>
      <c r="C24" s="12" t="s">
        <v>64</v>
      </c>
      <c r="D24" s="8" t="s">
        <v>72</v>
      </c>
      <c r="E24" s="5" t="str">
        <f>"0x"&amp;DEC2HEX(SUMPRODUCT((Fields!$A$2:$A$72=$A24)*Fields!$J$2:$J$72*2^Fields!$F$2:$F$72),8)</f>
        <v>0x00000000</v>
      </c>
      <c r="F24" s="9">
        <f>COUNTIFS(Fields!$A$2:$A$72,$A24,Fields!$K$2:$K$72,"No")</f>
        <v>1</v>
      </c>
      <c r="G24" s="10" t="s">
        <v>88</v>
      </c>
      <c r="H24" s="10" t="s">
        <v>17</v>
      </c>
      <c r="I24" s="9" t="s">
        <v>66</v>
      </c>
    </row>
    <row r="25" spans="1:9" ht="30" customHeight="1" x14ac:dyDescent="0.25">
      <c r="A25" s="5" t="s">
        <v>89</v>
      </c>
      <c r="B25" s="6" t="s">
        <v>90</v>
      </c>
      <c r="C25" s="11" t="s">
        <v>20</v>
      </c>
      <c r="D25" s="8" t="s">
        <v>91</v>
      </c>
      <c r="E25" s="5" t="str">
        <f>"0x"&amp;DEC2HEX(SUMPRODUCT((Fields!$A$2:$A$72=$A25)*Fields!$J$2:$J$72*2^Fields!$F$2:$F$72),8)</f>
        <v>0x00000000</v>
      </c>
      <c r="F25" s="9">
        <f>COUNTIFS(Fields!$A$2:$A$72,$A25,Fields!$K$2:$K$72,"No")</f>
        <v>1</v>
      </c>
      <c r="G25" s="10" t="s">
        <v>92</v>
      </c>
      <c r="H25" s="10" t="s">
        <v>37</v>
      </c>
      <c r="I25" s="9" t="s">
        <v>93</v>
      </c>
    </row>
    <row r="26" spans="1:9" ht="30" customHeight="1" x14ac:dyDescent="0.25">
      <c r="A26" s="5" t="s">
        <v>94</v>
      </c>
      <c r="B26" s="6" t="s">
        <v>95</v>
      </c>
      <c r="C26" s="11" t="s">
        <v>20</v>
      </c>
      <c r="D26" s="8" t="s">
        <v>91</v>
      </c>
      <c r="E26" s="5" t="str">
        <f>"0x"&amp;DEC2HEX(SUMPRODUCT((Fields!$A$2:$A$72=$A26)*Fields!$J$2:$J$72*2^Fields!$F$2:$F$72),8)</f>
        <v>0x00000000</v>
      </c>
      <c r="F26" s="9">
        <f>COUNTIFS(Fields!$A$2:$A$72,$A26,Fields!$K$2:$K$72,"No")</f>
        <v>1</v>
      </c>
      <c r="G26" s="10" t="s">
        <v>96</v>
      </c>
      <c r="H26" s="10" t="s">
        <v>37</v>
      </c>
      <c r="I26" s="9" t="s">
        <v>93</v>
      </c>
    </row>
    <row r="27" spans="1:9" ht="30" customHeight="1" x14ac:dyDescent="0.25">
      <c r="A27" s="5" t="s">
        <v>97</v>
      </c>
      <c r="B27" s="6" t="s">
        <v>98</v>
      </c>
      <c r="C27" s="11" t="s">
        <v>20</v>
      </c>
      <c r="D27" s="8" t="s">
        <v>91</v>
      </c>
      <c r="E27" s="5" t="str">
        <f>"0x"&amp;DEC2HEX(SUMPRODUCT((Fields!$A$2:$A$72=$A27)*Fields!$J$2:$J$72*2^Fields!$F$2:$F$72),8)</f>
        <v>0x00000000</v>
      </c>
      <c r="F27" s="9">
        <f>COUNTIFS(Fields!$A$2:$A$72,$A27,Fields!$K$2:$K$72,"No")</f>
        <v>2</v>
      </c>
      <c r="G27" s="10" t="s">
        <v>99</v>
      </c>
      <c r="H27" s="10" t="s">
        <v>42</v>
      </c>
      <c r="I27" s="9" t="s">
        <v>93</v>
      </c>
    </row>
    <row r="28" spans="1:9" ht="30" customHeight="1" x14ac:dyDescent="0.25">
      <c r="A28" s="5" t="s">
        <v>100</v>
      </c>
      <c r="B28" s="6" t="s">
        <v>101</v>
      </c>
      <c r="C28" s="11" t="s">
        <v>20</v>
      </c>
      <c r="D28" s="8" t="s">
        <v>91</v>
      </c>
      <c r="E28" s="5" t="str">
        <f>"0x"&amp;DEC2HEX(SUMPRODUCT((Fields!$A$2:$A$72=$A28)*Fields!$J$2:$J$72*2^Fields!$F$2:$F$72),8)</f>
        <v>0x00000000</v>
      </c>
      <c r="F28" s="9">
        <f>COUNTIFS(Fields!$A$2:$A$72,$A28,Fields!$K$2:$K$72,"No")</f>
        <v>1</v>
      </c>
      <c r="G28" s="10" t="s">
        <v>102</v>
      </c>
      <c r="H28" s="10" t="s">
        <v>37</v>
      </c>
      <c r="I28" s="9" t="s">
        <v>93</v>
      </c>
    </row>
    <row r="29" spans="1:9" ht="30" customHeight="1" x14ac:dyDescent="0.25">
      <c r="A29" s="5" t="s">
        <v>103</v>
      </c>
      <c r="B29" s="6" t="s">
        <v>104</v>
      </c>
      <c r="C29" s="11" t="s">
        <v>20</v>
      </c>
      <c r="D29" s="8" t="s">
        <v>91</v>
      </c>
      <c r="E29" s="5" t="str">
        <f>"0x"&amp;DEC2HEX(SUMPRODUCT((Fields!$A$2:$A$72=$A29)*Fields!$J$2:$J$72*2^Fields!$F$2:$F$72),8)</f>
        <v>0x00000000</v>
      </c>
      <c r="F29" s="9">
        <f>COUNTIFS(Fields!$A$2:$A$72,$A29,Fields!$K$2:$K$72,"No")</f>
        <v>1</v>
      </c>
      <c r="G29" s="10" t="s">
        <v>105</v>
      </c>
      <c r="H29" s="10" t="s">
        <v>37</v>
      </c>
      <c r="I29" s="9" t="s">
        <v>93</v>
      </c>
    </row>
    <row r="30" spans="1:9" ht="30" customHeight="1" x14ac:dyDescent="0.25">
      <c r="A30" s="5" t="s">
        <v>106</v>
      </c>
      <c r="B30" s="6" t="s">
        <v>107</v>
      </c>
      <c r="C30" s="11" t="s">
        <v>20</v>
      </c>
      <c r="D30" s="8" t="s">
        <v>91</v>
      </c>
      <c r="E30" s="5" t="str">
        <f>"0x"&amp;DEC2HEX(SUMPRODUCT((Fields!$A$2:$A$72=$A30)*Fields!$J$2:$J$72*2^Fields!$F$2:$F$72),8)</f>
        <v>0x00000000</v>
      </c>
      <c r="F30" s="9">
        <f>COUNTIFS(Fields!$A$2:$A$72,$A30,Fields!$K$2:$K$72,"No")</f>
        <v>2</v>
      </c>
      <c r="G30" s="10" t="s">
        <v>108</v>
      </c>
      <c r="H30" s="10" t="s">
        <v>42</v>
      </c>
      <c r="I30" s="9" t="s">
        <v>93</v>
      </c>
    </row>
    <row r="31" spans="1:9" ht="30" customHeight="1" x14ac:dyDescent="0.25">
      <c r="A31" s="5" t="s">
        <v>109</v>
      </c>
      <c r="B31" s="6" t="s">
        <v>110</v>
      </c>
      <c r="C31" s="7" t="s">
        <v>14</v>
      </c>
      <c r="D31" s="8" t="s">
        <v>111</v>
      </c>
      <c r="E31" s="5" t="str">
        <f>"0x"&amp;DEC2HEX(SUMPRODUCT((Fields!$A$2:$A$72=$A31)*Fields!$J$2:$J$72*2^Fields!$F$2:$F$72),8)</f>
        <v>0x00000000</v>
      </c>
      <c r="F31" s="9">
        <f>COUNTIFS(Fields!$A$2:$A$72,$A31,Fields!$K$2:$K$72,"No")</f>
        <v>1</v>
      </c>
      <c r="G31" s="10" t="s">
        <v>112</v>
      </c>
      <c r="H31" s="10" t="s">
        <v>17</v>
      </c>
      <c r="I31" s="9" t="s">
        <v>32</v>
      </c>
    </row>
    <row r="32" spans="1:9" ht="30" customHeight="1" x14ac:dyDescent="0.25">
      <c r="A32" s="5" t="s">
        <v>113</v>
      </c>
      <c r="B32" s="6" t="s">
        <v>114</v>
      </c>
      <c r="C32" s="7" t="s">
        <v>14</v>
      </c>
      <c r="D32" s="8" t="s">
        <v>111</v>
      </c>
      <c r="E32" s="5" t="str">
        <f>"0x"&amp;DEC2HEX(SUMPRODUCT((Fields!$A$2:$A$72=$A32)*Fields!$J$2:$J$72*2^Fields!$F$2:$F$72),8)</f>
        <v>0x00000000</v>
      </c>
      <c r="F32" s="9">
        <f>COUNTIFS(Fields!$A$2:$A$72,$A32,Fields!$K$2:$K$72,"No")</f>
        <v>1</v>
      </c>
      <c r="G32" s="10" t="s">
        <v>115</v>
      </c>
      <c r="H32" s="10" t="s">
        <v>17</v>
      </c>
      <c r="I32" s="9" t="s">
        <v>32</v>
      </c>
    </row>
    <row r="34" spans="1:5" x14ac:dyDescent="0.25">
      <c r="A34" s="13" t="s">
        <v>116</v>
      </c>
    </row>
    <row r="35" spans="1:5" x14ac:dyDescent="0.25">
      <c r="B35" s="48" t="s">
        <v>117</v>
      </c>
      <c r="C35" s="48"/>
      <c r="D35" s="48"/>
      <c r="E35" s="14">
        <f>COUNTA(A6:A32)</f>
        <v>27</v>
      </c>
    </row>
    <row r="36" spans="1:5" x14ac:dyDescent="0.25">
      <c r="B36" s="48" t="s">
        <v>118</v>
      </c>
      <c r="C36" s="48"/>
      <c r="D36" s="48"/>
      <c r="E36" s="14">
        <f>COUNTIF(C6:C32,"RW")</f>
        <v>14</v>
      </c>
    </row>
    <row r="37" spans="1:5" x14ac:dyDescent="0.25">
      <c r="B37" s="48" t="s">
        <v>119</v>
      </c>
      <c r="C37" s="48"/>
      <c r="D37" s="48"/>
      <c r="E37" s="14">
        <f>COUNTIF(C6:C32,"RO")</f>
        <v>11</v>
      </c>
    </row>
    <row r="38" spans="1:5" x14ac:dyDescent="0.25">
      <c r="B38" s="48" t="s">
        <v>120</v>
      </c>
      <c r="C38" s="48"/>
      <c r="D38" s="48"/>
      <c r="E38" s="14">
        <f>COUNTIF(C6:C32,"WO")</f>
        <v>2</v>
      </c>
    </row>
    <row r="39" spans="1:5" x14ac:dyDescent="0.25">
      <c r="B39" s="48" t="s">
        <v>121</v>
      </c>
      <c r="C39" s="48"/>
      <c r="D39" s="48"/>
      <c r="E39" s="14">
        <f>SUM(F6:F32)</f>
        <v>58</v>
      </c>
    </row>
    <row r="40" spans="1:5" x14ac:dyDescent="0.25">
      <c r="B40" s="48" t="s">
        <v>122</v>
      </c>
      <c r="C40" s="48"/>
      <c r="D40" s="48"/>
      <c r="E40" s="14">
        <f>COUNTIF(H6:H32,"*while CAN_ENABLE = 1*")</f>
        <v>9</v>
      </c>
    </row>
    <row r="42" spans="1:5" x14ac:dyDescent="0.25">
      <c r="B42" s="3" t="s">
        <v>123</v>
      </c>
    </row>
    <row r="44" spans="1:5" x14ac:dyDescent="0.25">
      <c r="B44" s="15" t="s">
        <v>124</v>
      </c>
    </row>
    <row r="45" spans="1:5" x14ac:dyDescent="0.25">
      <c r="B45" s="16" t="s">
        <v>20</v>
      </c>
    </row>
    <row r="46" spans="1:5" x14ac:dyDescent="0.25">
      <c r="B46" s="17" t="s">
        <v>14</v>
      </c>
    </row>
    <row r="47" spans="1:5" x14ac:dyDescent="0.25">
      <c r="B47" s="18" t="s">
        <v>64</v>
      </c>
    </row>
  </sheetData>
  <autoFilter ref="A5:I32" xr:uid="{00000000-0009-0000-0000-000000000000}"/>
  <mergeCells count="6">
    <mergeCell ref="B40:D40"/>
    <mergeCell ref="B35:D35"/>
    <mergeCell ref="B36:D36"/>
    <mergeCell ref="B37:D37"/>
    <mergeCell ref="B38:D38"/>
    <mergeCell ref="B39:D39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74"/>
  <sheetViews>
    <sheetView showGridLines="0" zoomScaleNormal="100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P9" sqref="P9"/>
    </sheetView>
  </sheetViews>
  <sheetFormatPr defaultColWidth="8.7109375" defaultRowHeight="15" x14ac:dyDescent="0.25"/>
  <cols>
    <col min="1" max="1" width="9" customWidth="1"/>
    <col min="2" max="2" width="16" customWidth="1"/>
    <col min="3" max="3" width="8" customWidth="1"/>
    <col min="4" max="4" width="22" customWidth="1"/>
    <col min="5" max="6" width="6" customWidth="1"/>
    <col min="7" max="7" width="7" customWidth="1"/>
    <col min="8" max="8" width="8" customWidth="1"/>
    <col min="9" max="9" width="13" customWidth="1"/>
    <col min="10" max="10" width="14" customWidth="1"/>
    <col min="11" max="11" width="10" customWidth="1"/>
    <col min="12" max="12" width="70" customWidth="1"/>
    <col min="13" max="13" width="46" customWidth="1"/>
  </cols>
  <sheetData>
    <row r="1" spans="1:13" ht="25.5" x14ac:dyDescent="0.25">
      <c r="A1" s="4" t="s">
        <v>3</v>
      </c>
      <c r="B1" s="4" t="s">
        <v>4</v>
      </c>
      <c r="C1" s="4" t="s">
        <v>125</v>
      </c>
      <c r="D1" s="4" t="s">
        <v>126</v>
      </c>
      <c r="E1" s="4" t="s">
        <v>127</v>
      </c>
      <c r="F1" s="4" t="s">
        <v>128</v>
      </c>
      <c r="G1" s="4" t="s">
        <v>129</v>
      </c>
      <c r="H1" s="4" t="s">
        <v>5</v>
      </c>
      <c r="I1" s="4" t="s">
        <v>130</v>
      </c>
      <c r="J1" s="4" t="s">
        <v>131</v>
      </c>
      <c r="K1" s="4" t="s">
        <v>132</v>
      </c>
      <c r="L1" s="4" t="s">
        <v>9</v>
      </c>
      <c r="M1" s="4" t="s">
        <v>133</v>
      </c>
    </row>
    <row r="2" spans="1:13" ht="30" customHeight="1" x14ac:dyDescent="0.25">
      <c r="A2" s="19" t="s">
        <v>12</v>
      </c>
      <c r="B2" s="20" t="s">
        <v>13</v>
      </c>
      <c r="C2" s="19" t="s">
        <v>134</v>
      </c>
      <c r="D2" s="20" t="s">
        <v>13</v>
      </c>
      <c r="E2" s="21">
        <v>31</v>
      </c>
      <c r="F2" s="21">
        <v>0</v>
      </c>
      <c r="G2" s="21">
        <f t="shared" ref="G2:G33" si="0">E2-F2+1</f>
        <v>32</v>
      </c>
      <c r="H2" s="22" t="s">
        <v>14</v>
      </c>
      <c r="I2" s="19" t="s">
        <v>135</v>
      </c>
      <c r="J2" s="21">
        <v>16785409</v>
      </c>
      <c r="K2" s="21" t="s">
        <v>136</v>
      </c>
      <c r="L2" s="23" t="s">
        <v>137</v>
      </c>
      <c r="M2" s="23" t="s">
        <v>17</v>
      </c>
    </row>
    <row r="3" spans="1:13" ht="60" customHeight="1" x14ac:dyDescent="0.25">
      <c r="A3" s="24" t="s">
        <v>18</v>
      </c>
      <c r="B3" s="25" t="s">
        <v>19</v>
      </c>
      <c r="C3" s="24" t="s">
        <v>138</v>
      </c>
      <c r="D3" s="25" t="s">
        <v>139</v>
      </c>
      <c r="E3" s="26">
        <v>0</v>
      </c>
      <c r="F3" s="26">
        <v>0</v>
      </c>
      <c r="G3" s="26">
        <f t="shared" si="0"/>
        <v>1</v>
      </c>
      <c r="H3" s="27" t="s">
        <v>20</v>
      </c>
      <c r="I3" s="24" t="s">
        <v>138</v>
      </c>
      <c r="J3" s="26">
        <v>0</v>
      </c>
      <c r="K3" s="26" t="s">
        <v>136</v>
      </c>
      <c r="L3" s="28" t="s">
        <v>140</v>
      </c>
      <c r="M3" s="28" t="s">
        <v>141</v>
      </c>
    </row>
    <row r="4" spans="1:13" ht="18" customHeight="1" x14ac:dyDescent="0.25">
      <c r="A4" s="19" t="s">
        <v>18</v>
      </c>
      <c r="B4" s="20" t="s">
        <v>19</v>
      </c>
      <c r="C4" s="19" t="s">
        <v>142</v>
      </c>
      <c r="D4" s="20" t="s">
        <v>143</v>
      </c>
      <c r="E4" s="21">
        <v>1</v>
      </c>
      <c r="F4" s="21">
        <v>1</v>
      </c>
      <c r="G4" s="21">
        <f t="shared" si="0"/>
        <v>1</v>
      </c>
      <c r="H4" s="29" t="s">
        <v>20</v>
      </c>
      <c r="I4" s="19" t="s">
        <v>138</v>
      </c>
      <c r="J4" s="21">
        <v>0</v>
      </c>
      <c r="K4" s="21" t="s">
        <v>136</v>
      </c>
      <c r="L4" s="23" t="s">
        <v>144</v>
      </c>
      <c r="M4" s="23" t="s">
        <v>17</v>
      </c>
    </row>
    <row r="5" spans="1:13" ht="45" customHeight="1" x14ac:dyDescent="0.25">
      <c r="A5" s="19" t="s">
        <v>18</v>
      </c>
      <c r="B5" s="20" t="s">
        <v>19</v>
      </c>
      <c r="C5" s="19" t="s">
        <v>145</v>
      </c>
      <c r="D5" s="20" t="s">
        <v>146</v>
      </c>
      <c r="E5" s="21">
        <v>2</v>
      </c>
      <c r="F5" s="21">
        <v>2</v>
      </c>
      <c r="G5" s="21">
        <f t="shared" si="0"/>
        <v>1</v>
      </c>
      <c r="H5" s="29" t="s">
        <v>20</v>
      </c>
      <c r="I5" s="19" t="s">
        <v>138</v>
      </c>
      <c r="J5" s="21">
        <v>0</v>
      </c>
      <c r="K5" s="21" t="s">
        <v>136</v>
      </c>
      <c r="L5" s="23" t="s">
        <v>147</v>
      </c>
      <c r="M5" s="23" t="s">
        <v>141</v>
      </c>
    </row>
    <row r="6" spans="1:13" ht="18" customHeight="1" x14ac:dyDescent="0.25">
      <c r="A6" s="30" t="s">
        <v>18</v>
      </c>
      <c r="B6" s="31" t="s">
        <v>19</v>
      </c>
      <c r="C6" s="30" t="s">
        <v>148</v>
      </c>
      <c r="D6" s="32" t="s">
        <v>149</v>
      </c>
      <c r="E6" s="33">
        <v>31</v>
      </c>
      <c r="F6" s="33">
        <v>3</v>
      </c>
      <c r="G6" s="33">
        <f t="shared" si="0"/>
        <v>29</v>
      </c>
      <c r="H6" s="34" t="s">
        <v>14</v>
      </c>
      <c r="I6" s="30" t="s">
        <v>138</v>
      </c>
      <c r="J6" s="33">
        <v>0</v>
      </c>
      <c r="K6" s="33" t="s">
        <v>150</v>
      </c>
      <c r="L6" s="35" t="s">
        <v>151</v>
      </c>
      <c r="M6" s="35" t="s">
        <v>17</v>
      </c>
    </row>
    <row r="7" spans="1:13" ht="18" customHeight="1" x14ac:dyDescent="0.25">
      <c r="A7" s="24" t="s">
        <v>24</v>
      </c>
      <c r="B7" s="25" t="s">
        <v>25</v>
      </c>
      <c r="C7" s="24" t="s">
        <v>138</v>
      </c>
      <c r="D7" s="25" t="s">
        <v>152</v>
      </c>
      <c r="E7" s="26">
        <v>0</v>
      </c>
      <c r="F7" s="26">
        <v>0</v>
      </c>
      <c r="G7" s="26">
        <f t="shared" si="0"/>
        <v>1</v>
      </c>
      <c r="H7" s="36" t="s">
        <v>14</v>
      </c>
      <c r="I7" s="24" t="s">
        <v>138</v>
      </c>
      <c r="J7" s="26">
        <v>0</v>
      </c>
      <c r="K7" s="26" t="s">
        <v>136</v>
      </c>
      <c r="L7" s="28" t="s">
        <v>153</v>
      </c>
      <c r="M7" s="28" t="s">
        <v>17</v>
      </c>
    </row>
    <row r="8" spans="1:13" ht="30" customHeight="1" x14ac:dyDescent="0.25">
      <c r="A8" s="19" t="s">
        <v>24</v>
      </c>
      <c r="B8" s="20" t="s">
        <v>25</v>
      </c>
      <c r="C8" s="19" t="s">
        <v>142</v>
      </c>
      <c r="D8" s="20" t="s">
        <v>154</v>
      </c>
      <c r="E8" s="21">
        <v>1</v>
      </c>
      <c r="F8" s="21">
        <v>1</v>
      </c>
      <c r="G8" s="21">
        <f t="shared" si="0"/>
        <v>1</v>
      </c>
      <c r="H8" s="22" t="s">
        <v>14</v>
      </c>
      <c r="I8" s="19" t="s">
        <v>138</v>
      </c>
      <c r="J8" s="21">
        <v>0</v>
      </c>
      <c r="K8" s="21" t="s">
        <v>136</v>
      </c>
      <c r="L8" s="23" t="s">
        <v>155</v>
      </c>
      <c r="M8" s="23" t="s">
        <v>156</v>
      </c>
    </row>
    <row r="9" spans="1:13" ht="18" customHeight="1" x14ac:dyDescent="0.25">
      <c r="A9" s="19" t="s">
        <v>24</v>
      </c>
      <c r="B9" s="20" t="s">
        <v>25</v>
      </c>
      <c r="C9" s="19" t="s">
        <v>145</v>
      </c>
      <c r="D9" s="20" t="s">
        <v>157</v>
      </c>
      <c r="E9" s="21">
        <v>2</v>
      </c>
      <c r="F9" s="21">
        <v>2</v>
      </c>
      <c r="G9" s="21">
        <f t="shared" si="0"/>
        <v>1</v>
      </c>
      <c r="H9" s="22" t="s">
        <v>14</v>
      </c>
      <c r="I9" s="19" t="s">
        <v>138</v>
      </c>
      <c r="J9" s="21">
        <v>0</v>
      </c>
      <c r="K9" s="21" t="s">
        <v>136</v>
      </c>
      <c r="L9" s="23" t="s">
        <v>158</v>
      </c>
      <c r="M9" s="23" t="s">
        <v>17</v>
      </c>
    </row>
    <row r="10" spans="1:13" ht="18" customHeight="1" x14ac:dyDescent="0.25">
      <c r="A10" s="19" t="s">
        <v>24</v>
      </c>
      <c r="B10" s="20" t="s">
        <v>25</v>
      </c>
      <c r="C10" s="19" t="s">
        <v>159</v>
      </c>
      <c r="D10" s="20" t="s">
        <v>160</v>
      </c>
      <c r="E10" s="21">
        <v>3</v>
      </c>
      <c r="F10" s="21">
        <v>3</v>
      </c>
      <c r="G10" s="21">
        <f t="shared" si="0"/>
        <v>1</v>
      </c>
      <c r="H10" s="22" t="s">
        <v>14</v>
      </c>
      <c r="I10" s="19" t="s">
        <v>138</v>
      </c>
      <c r="J10" s="21">
        <v>0</v>
      </c>
      <c r="K10" s="21" t="s">
        <v>136</v>
      </c>
      <c r="L10" s="23" t="s">
        <v>161</v>
      </c>
      <c r="M10" s="23" t="s">
        <v>17</v>
      </c>
    </row>
    <row r="11" spans="1:13" ht="45" customHeight="1" x14ac:dyDescent="0.25">
      <c r="A11" s="19" t="s">
        <v>24</v>
      </c>
      <c r="B11" s="20" t="s">
        <v>25</v>
      </c>
      <c r="C11" s="19" t="s">
        <v>162</v>
      </c>
      <c r="D11" s="20" t="s">
        <v>163</v>
      </c>
      <c r="E11" s="21">
        <v>4</v>
      </c>
      <c r="F11" s="21">
        <v>4</v>
      </c>
      <c r="G11" s="21">
        <f t="shared" si="0"/>
        <v>1</v>
      </c>
      <c r="H11" s="22" t="s">
        <v>14</v>
      </c>
      <c r="I11" s="19" t="s">
        <v>138</v>
      </c>
      <c r="J11" s="21">
        <v>0</v>
      </c>
      <c r="K11" s="21" t="s">
        <v>136</v>
      </c>
      <c r="L11" s="23" t="s">
        <v>164</v>
      </c>
      <c r="M11" s="23" t="s">
        <v>165</v>
      </c>
    </row>
    <row r="12" spans="1:13" ht="18" customHeight="1" x14ac:dyDescent="0.25">
      <c r="A12" s="19" t="s">
        <v>24</v>
      </c>
      <c r="B12" s="20" t="s">
        <v>25</v>
      </c>
      <c r="C12" s="19" t="s">
        <v>66</v>
      </c>
      <c r="D12" s="20" t="s">
        <v>166</v>
      </c>
      <c r="E12" s="21">
        <v>5</v>
      </c>
      <c r="F12" s="21">
        <v>5</v>
      </c>
      <c r="G12" s="21">
        <f t="shared" si="0"/>
        <v>1</v>
      </c>
      <c r="H12" s="22" t="s">
        <v>14</v>
      </c>
      <c r="I12" s="19" t="s">
        <v>138</v>
      </c>
      <c r="J12" s="21">
        <v>0</v>
      </c>
      <c r="K12" s="21" t="s">
        <v>136</v>
      </c>
      <c r="L12" s="23" t="s">
        <v>167</v>
      </c>
      <c r="M12" s="23" t="s">
        <v>168</v>
      </c>
    </row>
    <row r="13" spans="1:13" ht="18" customHeight="1" x14ac:dyDescent="0.25">
      <c r="A13" s="19" t="s">
        <v>24</v>
      </c>
      <c r="B13" s="20" t="s">
        <v>25</v>
      </c>
      <c r="C13" s="19" t="s">
        <v>169</v>
      </c>
      <c r="D13" s="20" t="s">
        <v>170</v>
      </c>
      <c r="E13" s="21">
        <v>6</v>
      </c>
      <c r="F13" s="21">
        <v>6</v>
      </c>
      <c r="G13" s="21">
        <f t="shared" si="0"/>
        <v>1</v>
      </c>
      <c r="H13" s="22" t="s">
        <v>14</v>
      </c>
      <c r="I13" s="19" t="s">
        <v>138</v>
      </c>
      <c r="J13" s="21">
        <v>0</v>
      </c>
      <c r="K13" s="21" t="s">
        <v>136</v>
      </c>
      <c r="L13" s="23" t="s">
        <v>167</v>
      </c>
      <c r="M13" s="23" t="s">
        <v>168</v>
      </c>
    </row>
    <row r="14" spans="1:13" ht="18" customHeight="1" x14ac:dyDescent="0.25">
      <c r="A14" s="19" t="s">
        <v>24</v>
      </c>
      <c r="B14" s="20" t="s">
        <v>25</v>
      </c>
      <c r="C14" s="19" t="s">
        <v>171</v>
      </c>
      <c r="D14" s="20" t="s">
        <v>172</v>
      </c>
      <c r="E14" s="21">
        <v>7</v>
      </c>
      <c r="F14" s="21">
        <v>7</v>
      </c>
      <c r="G14" s="21">
        <f t="shared" si="0"/>
        <v>1</v>
      </c>
      <c r="H14" s="22" t="s">
        <v>14</v>
      </c>
      <c r="I14" s="19" t="s">
        <v>138</v>
      </c>
      <c r="J14" s="21">
        <v>0</v>
      </c>
      <c r="K14" s="21" t="s">
        <v>136</v>
      </c>
      <c r="L14" s="23" t="s">
        <v>167</v>
      </c>
      <c r="M14" s="23" t="s">
        <v>168</v>
      </c>
    </row>
    <row r="15" spans="1:13" ht="18" customHeight="1" x14ac:dyDescent="0.25">
      <c r="A15" s="19" t="s">
        <v>24</v>
      </c>
      <c r="B15" s="20" t="s">
        <v>25</v>
      </c>
      <c r="C15" s="19" t="s">
        <v>173</v>
      </c>
      <c r="D15" s="20" t="s">
        <v>174</v>
      </c>
      <c r="E15" s="21">
        <v>8</v>
      </c>
      <c r="F15" s="21">
        <v>8</v>
      </c>
      <c r="G15" s="21">
        <f t="shared" si="0"/>
        <v>1</v>
      </c>
      <c r="H15" s="22" t="s">
        <v>14</v>
      </c>
      <c r="I15" s="19" t="s">
        <v>138</v>
      </c>
      <c r="J15" s="21">
        <v>0</v>
      </c>
      <c r="K15" s="21" t="s">
        <v>136</v>
      </c>
      <c r="L15" s="23" t="s">
        <v>167</v>
      </c>
      <c r="M15" s="23" t="s">
        <v>168</v>
      </c>
    </row>
    <row r="16" spans="1:13" ht="18" customHeight="1" x14ac:dyDescent="0.25">
      <c r="A16" s="19" t="s">
        <v>24</v>
      </c>
      <c r="B16" s="20" t="s">
        <v>25</v>
      </c>
      <c r="C16" s="19" t="s">
        <v>175</v>
      </c>
      <c r="D16" s="20" t="s">
        <v>176</v>
      </c>
      <c r="E16" s="21">
        <v>9</v>
      </c>
      <c r="F16" s="21">
        <v>9</v>
      </c>
      <c r="G16" s="21">
        <f t="shared" si="0"/>
        <v>1</v>
      </c>
      <c r="H16" s="22" t="s">
        <v>14</v>
      </c>
      <c r="I16" s="19" t="s">
        <v>138</v>
      </c>
      <c r="J16" s="21">
        <v>0</v>
      </c>
      <c r="K16" s="21" t="s">
        <v>136</v>
      </c>
      <c r="L16" s="23" t="s">
        <v>167</v>
      </c>
      <c r="M16" s="23" t="s">
        <v>168</v>
      </c>
    </row>
    <row r="17" spans="1:13" ht="30" customHeight="1" x14ac:dyDescent="0.25">
      <c r="A17" s="19" t="s">
        <v>24</v>
      </c>
      <c r="B17" s="20" t="s">
        <v>25</v>
      </c>
      <c r="C17" s="19" t="s">
        <v>177</v>
      </c>
      <c r="D17" s="20" t="s">
        <v>178</v>
      </c>
      <c r="E17" s="21">
        <v>10</v>
      </c>
      <c r="F17" s="21">
        <v>10</v>
      </c>
      <c r="G17" s="21">
        <f t="shared" si="0"/>
        <v>1</v>
      </c>
      <c r="H17" s="22" t="s">
        <v>14</v>
      </c>
      <c r="I17" s="19" t="s">
        <v>138</v>
      </c>
      <c r="J17" s="21">
        <v>0</v>
      </c>
      <c r="K17" s="21" t="s">
        <v>136</v>
      </c>
      <c r="L17" s="23" t="s">
        <v>179</v>
      </c>
      <c r="M17" s="23" t="s">
        <v>180</v>
      </c>
    </row>
    <row r="18" spans="1:13" ht="18" customHeight="1" x14ac:dyDescent="0.25">
      <c r="A18" s="30" t="s">
        <v>24</v>
      </c>
      <c r="B18" s="31" t="s">
        <v>25</v>
      </c>
      <c r="C18" s="30" t="s">
        <v>181</v>
      </c>
      <c r="D18" s="32" t="s">
        <v>149</v>
      </c>
      <c r="E18" s="33">
        <v>31</v>
      </c>
      <c r="F18" s="33">
        <v>11</v>
      </c>
      <c r="G18" s="33">
        <f t="shared" si="0"/>
        <v>21</v>
      </c>
      <c r="H18" s="34" t="s">
        <v>14</v>
      </c>
      <c r="I18" s="30" t="s">
        <v>138</v>
      </c>
      <c r="J18" s="33">
        <v>0</v>
      </c>
      <c r="K18" s="33" t="s">
        <v>150</v>
      </c>
      <c r="L18" s="35" t="s">
        <v>151</v>
      </c>
      <c r="M18" s="35" t="s">
        <v>17</v>
      </c>
    </row>
    <row r="19" spans="1:13" ht="18" customHeight="1" x14ac:dyDescent="0.25">
      <c r="A19" s="24" t="s">
        <v>29</v>
      </c>
      <c r="B19" s="25" t="s">
        <v>30</v>
      </c>
      <c r="C19" s="24" t="s">
        <v>182</v>
      </c>
      <c r="D19" s="25" t="s">
        <v>183</v>
      </c>
      <c r="E19" s="26">
        <v>1</v>
      </c>
      <c r="F19" s="26">
        <v>0</v>
      </c>
      <c r="G19" s="26">
        <f t="shared" si="0"/>
        <v>2</v>
      </c>
      <c r="H19" s="36" t="s">
        <v>14</v>
      </c>
      <c r="I19" s="24" t="s">
        <v>138</v>
      </c>
      <c r="J19" s="26">
        <v>0</v>
      </c>
      <c r="K19" s="26" t="s">
        <v>136</v>
      </c>
      <c r="L19" s="28" t="s">
        <v>184</v>
      </c>
      <c r="M19" s="28" t="s">
        <v>185</v>
      </c>
    </row>
    <row r="20" spans="1:13" ht="30" customHeight="1" x14ac:dyDescent="0.25">
      <c r="A20" s="19" t="s">
        <v>29</v>
      </c>
      <c r="B20" s="20" t="s">
        <v>30</v>
      </c>
      <c r="C20" s="19" t="s">
        <v>145</v>
      </c>
      <c r="D20" s="20" t="s">
        <v>186</v>
      </c>
      <c r="E20" s="21">
        <v>2</v>
      </c>
      <c r="F20" s="21">
        <v>2</v>
      </c>
      <c r="G20" s="21">
        <f t="shared" si="0"/>
        <v>1</v>
      </c>
      <c r="H20" s="22" t="s">
        <v>14</v>
      </c>
      <c r="I20" s="19" t="s">
        <v>138</v>
      </c>
      <c r="J20" s="21">
        <v>0</v>
      </c>
      <c r="K20" s="21" t="s">
        <v>136</v>
      </c>
      <c r="L20" s="23" t="s">
        <v>187</v>
      </c>
      <c r="M20" s="23" t="s">
        <v>17</v>
      </c>
    </row>
    <row r="21" spans="1:13" ht="30" customHeight="1" x14ac:dyDescent="0.25">
      <c r="A21" s="19" t="s">
        <v>29</v>
      </c>
      <c r="B21" s="20" t="s">
        <v>30</v>
      </c>
      <c r="C21" s="19" t="s">
        <v>159</v>
      </c>
      <c r="D21" s="20" t="s">
        <v>188</v>
      </c>
      <c r="E21" s="21">
        <v>3</v>
      </c>
      <c r="F21" s="21">
        <v>3</v>
      </c>
      <c r="G21" s="21">
        <f t="shared" si="0"/>
        <v>1</v>
      </c>
      <c r="H21" s="22" t="s">
        <v>14</v>
      </c>
      <c r="I21" s="19" t="s">
        <v>138</v>
      </c>
      <c r="J21" s="21">
        <v>0</v>
      </c>
      <c r="K21" s="21" t="s">
        <v>136</v>
      </c>
      <c r="L21" s="23" t="s">
        <v>189</v>
      </c>
      <c r="M21" s="23" t="s">
        <v>17</v>
      </c>
    </row>
    <row r="22" spans="1:13" ht="60" customHeight="1" x14ac:dyDescent="0.25">
      <c r="A22" s="19" t="s">
        <v>29</v>
      </c>
      <c r="B22" s="20" t="s">
        <v>30</v>
      </c>
      <c r="C22" s="19" t="s">
        <v>190</v>
      </c>
      <c r="D22" s="20" t="s">
        <v>191</v>
      </c>
      <c r="E22" s="21">
        <v>7</v>
      </c>
      <c r="F22" s="21">
        <v>4</v>
      </c>
      <c r="G22" s="21">
        <f t="shared" si="0"/>
        <v>4</v>
      </c>
      <c r="H22" s="22" t="s">
        <v>14</v>
      </c>
      <c r="I22" s="19" t="s">
        <v>138</v>
      </c>
      <c r="J22" s="21">
        <v>0</v>
      </c>
      <c r="K22" s="21" t="s">
        <v>136</v>
      </c>
      <c r="L22" s="23" t="s">
        <v>192</v>
      </c>
      <c r="M22" s="23" t="s">
        <v>193</v>
      </c>
    </row>
    <row r="23" spans="1:13" ht="18" customHeight="1" x14ac:dyDescent="0.25">
      <c r="A23" s="30" t="s">
        <v>29</v>
      </c>
      <c r="B23" s="31" t="s">
        <v>30</v>
      </c>
      <c r="C23" s="30" t="s">
        <v>194</v>
      </c>
      <c r="D23" s="32" t="s">
        <v>149</v>
      </c>
      <c r="E23" s="33">
        <v>31</v>
      </c>
      <c r="F23" s="33">
        <v>8</v>
      </c>
      <c r="G23" s="33">
        <f t="shared" si="0"/>
        <v>24</v>
      </c>
      <c r="H23" s="34" t="s">
        <v>14</v>
      </c>
      <c r="I23" s="30" t="s">
        <v>138</v>
      </c>
      <c r="J23" s="33">
        <v>0</v>
      </c>
      <c r="K23" s="33" t="s">
        <v>150</v>
      </c>
      <c r="L23" s="35" t="s">
        <v>151</v>
      </c>
      <c r="M23" s="35" t="s">
        <v>17</v>
      </c>
    </row>
    <row r="24" spans="1:13" ht="60" customHeight="1" x14ac:dyDescent="0.25">
      <c r="A24" s="24" t="s">
        <v>33</v>
      </c>
      <c r="B24" s="25" t="s">
        <v>34</v>
      </c>
      <c r="C24" s="24" t="s">
        <v>134</v>
      </c>
      <c r="D24" s="25" t="s">
        <v>34</v>
      </c>
      <c r="E24" s="26">
        <v>31</v>
      </c>
      <c r="F24" s="26">
        <v>0</v>
      </c>
      <c r="G24" s="26">
        <f t="shared" si="0"/>
        <v>32</v>
      </c>
      <c r="H24" s="27" t="s">
        <v>20</v>
      </c>
      <c r="I24" s="24" t="s">
        <v>138</v>
      </c>
      <c r="J24" s="26">
        <v>0</v>
      </c>
      <c r="K24" s="26" t="s">
        <v>136</v>
      </c>
      <c r="L24" s="28" t="s">
        <v>195</v>
      </c>
      <c r="M24" s="28" t="s">
        <v>196</v>
      </c>
    </row>
    <row r="25" spans="1:13" ht="18" customHeight="1" x14ac:dyDescent="0.25">
      <c r="A25" s="24" t="s">
        <v>39</v>
      </c>
      <c r="B25" s="25" t="s">
        <v>40</v>
      </c>
      <c r="C25" s="24" t="s">
        <v>197</v>
      </c>
      <c r="D25" s="25" t="s">
        <v>198</v>
      </c>
      <c r="E25" s="26">
        <v>7</v>
      </c>
      <c r="F25" s="26">
        <v>0</v>
      </c>
      <c r="G25" s="26">
        <f t="shared" si="0"/>
        <v>8</v>
      </c>
      <c r="H25" s="27" t="s">
        <v>20</v>
      </c>
      <c r="I25" s="24" t="s">
        <v>138</v>
      </c>
      <c r="J25" s="26">
        <v>0</v>
      </c>
      <c r="K25" s="26" t="s">
        <v>136</v>
      </c>
      <c r="L25" s="28" t="s">
        <v>199</v>
      </c>
      <c r="M25" s="28" t="s">
        <v>200</v>
      </c>
    </row>
    <row r="26" spans="1:13" ht="18" customHeight="1" x14ac:dyDescent="0.25">
      <c r="A26" s="19" t="s">
        <v>39</v>
      </c>
      <c r="B26" s="20" t="s">
        <v>40</v>
      </c>
      <c r="C26" s="19" t="s">
        <v>201</v>
      </c>
      <c r="D26" s="20" t="s">
        <v>202</v>
      </c>
      <c r="E26" s="21">
        <v>15</v>
      </c>
      <c r="F26" s="21">
        <v>8</v>
      </c>
      <c r="G26" s="21">
        <f t="shared" si="0"/>
        <v>8</v>
      </c>
      <c r="H26" s="29" t="s">
        <v>20</v>
      </c>
      <c r="I26" s="19" t="s">
        <v>138</v>
      </c>
      <c r="J26" s="21">
        <v>0</v>
      </c>
      <c r="K26" s="21" t="s">
        <v>136</v>
      </c>
      <c r="L26" s="23" t="s">
        <v>203</v>
      </c>
      <c r="M26" s="23" t="s">
        <v>200</v>
      </c>
    </row>
    <row r="27" spans="1:13" ht="18" customHeight="1" x14ac:dyDescent="0.25">
      <c r="A27" s="19" t="s">
        <v>39</v>
      </c>
      <c r="B27" s="20" t="s">
        <v>40</v>
      </c>
      <c r="C27" s="19" t="s">
        <v>204</v>
      </c>
      <c r="D27" s="20" t="s">
        <v>205</v>
      </c>
      <c r="E27" s="21">
        <v>23</v>
      </c>
      <c r="F27" s="21">
        <v>16</v>
      </c>
      <c r="G27" s="21">
        <f t="shared" si="0"/>
        <v>8</v>
      </c>
      <c r="H27" s="29" t="s">
        <v>20</v>
      </c>
      <c r="I27" s="19" t="s">
        <v>138</v>
      </c>
      <c r="J27" s="21">
        <v>0</v>
      </c>
      <c r="K27" s="21" t="s">
        <v>136</v>
      </c>
      <c r="L27" s="23" t="s">
        <v>206</v>
      </c>
      <c r="M27" s="23" t="s">
        <v>200</v>
      </c>
    </row>
    <row r="28" spans="1:13" ht="30" customHeight="1" x14ac:dyDescent="0.25">
      <c r="A28" s="30" t="s">
        <v>39</v>
      </c>
      <c r="B28" s="31" t="s">
        <v>40</v>
      </c>
      <c r="C28" s="30" t="s">
        <v>207</v>
      </c>
      <c r="D28" s="32" t="s">
        <v>149</v>
      </c>
      <c r="E28" s="33">
        <v>31</v>
      </c>
      <c r="F28" s="33">
        <v>24</v>
      </c>
      <c r="G28" s="33">
        <f t="shared" si="0"/>
        <v>8</v>
      </c>
      <c r="H28" s="34" t="s">
        <v>14</v>
      </c>
      <c r="I28" s="30" t="s">
        <v>138</v>
      </c>
      <c r="J28" s="33">
        <v>0</v>
      </c>
      <c r="K28" s="33" t="s">
        <v>150</v>
      </c>
      <c r="L28" s="35" t="s">
        <v>208</v>
      </c>
      <c r="M28" s="35" t="s">
        <v>209</v>
      </c>
    </row>
    <row r="29" spans="1:13" ht="45" customHeight="1" x14ac:dyDescent="0.25">
      <c r="A29" s="24" t="s">
        <v>44</v>
      </c>
      <c r="B29" s="25" t="s">
        <v>45</v>
      </c>
      <c r="C29" s="24" t="s">
        <v>210</v>
      </c>
      <c r="D29" s="25" t="s">
        <v>211</v>
      </c>
      <c r="E29" s="26">
        <v>3</v>
      </c>
      <c r="F29" s="26">
        <v>0</v>
      </c>
      <c r="G29" s="26">
        <f t="shared" si="0"/>
        <v>4</v>
      </c>
      <c r="H29" s="27" t="s">
        <v>20</v>
      </c>
      <c r="I29" s="24" t="s">
        <v>138</v>
      </c>
      <c r="J29" s="26">
        <v>0</v>
      </c>
      <c r="K29" s="26" t="s">
        <v>136</v>
      </c>
      <c r="L29" s="28" t="s">
        <v>212</v>
      </c>
      <c r="M29" s="28" t="s">
        <v>213</v>
      </c>
    </row>
    <row r="30" spans="1:13" ht="18" customHeight="1" x14ac:dyDescent="0.25">
      <c r="A30" s="30" t="s">
        <v>44</v>
      </c>
      <c r="B30" s="31" t="s">
        <v>45</v>
      </c>
      <c r="C30" s="30" t="s">
        <v>214</v>
      </c>
      <c r="D30" s="32" t="s">
        <v>149</v>
      </c>
      <c r="E30" s="33">
        <v>31</v>
      </c>
      <c r="F30" s="33">
        <v>4</v>
      </c>
      <c r="G30" s="33">
        <f t="shared" si="0"/>
        <v>28</v>
      </c>
      <c r="H30" s="34" t="s">
        <v>14</v>
      </c>
      <c r="I30" s="30" t="s">
        <v>138</v>
      </c>
      <c r="J30" s="33">
        <v>0</v>
      </c>
      <c r="K30" s="33" t="s">
        <v>150</v>
      </c>
      <c r="L30" s="35" t="s">
        <v>151</v>
      </c>
      <c r="M30" s="35" t="s">
        <v>17</v>
      </c>
    </row>
    <row r="31" spans="1:13" ht="60" customHeight="1" x14ac:dyDescent="0.25">
      <c r="A31" s="24" t="s">
        <v>47</v>
      </c>
      <c r="B31" s="25" t="s">
        <v>48</v>
      </c>
      <c r="C31" s="24" t="s">
        <v>215</v>
      </c>
      <c r="D31" s="25" t="s">
        <v>216</v>
      </c>
      <c r="E31" s="26">
        <v>28</v>
      </c>
      <c r="F31" s="26">
        <v>0</v>
      </c>
      <c r="G31" s="26">
        <f t="shared" si="0"/>
        <v>29</v>
      </c>
      <c r="H31" s="27" t="s">
        <v>20</v>
      </c>
      <c r="I31" s="24" t="s">
        <v>138</v>
      </c>
      <c r="J31" s="26">
        <v>0</v>
      </c>
      <c r="K31" s="26" t="s">
        <v>136</v>
      </c>
      <c r="L31" s="28" t="s">
        <v>217</v>
      </c>
      <c r="M31" s="28" t="s">
        <v>17</v>
      </c>
    </row>
    <row r="32" spans="1:13" ht="18" customHeight="1" x14ac:dyDescent="0.25">
      <c r="A32" s="24" t="s">
        <v>52</v>
      </c>
      <c r="B32" s="25" t="s">
        <v>53</v>
      </c>
      <c r="C32" s="24" t="s">
        <v>138</v>
      </c>
      <c r="D32" s="25" t="s">
        <v>218</v>
      </c>
      <c r="E32" s="26">
        <v>0</v>
      </c>
      <c r="F32" s="26">
        <v>0</v>
      </c>
      <c r="G32" s="26">
        <f t="shared" si="0"/>
        <v>1</v>
      </c>
      <c r="H32" s="27" t="s">
        <v>20</v>
      </c>
      <c r="I32" s="24" t="s">
        <v>138</v>
      </c>
      <c r="J32" s="26">
        <v>0</v>
      </c>
      <c r="K32" s="26" t="s">
        <v>136</v>
      </c>
      <c r="L32" s="28" t="s">
        <v>219</v>
      </c>
      <c r="M32" s="28" t="s">
        <v>17</v>
      </c>
    </row>
    <row r="33" spans="1:13" ht="30" customHeight="1" x14ac:dyDescent="0.25">
      <c r="A33" s="19" t="s">
        <v>52</v>
      </c>
      <c r="B33" s="20" t="s">
        <v>53</v>
      </c>
      <c r="C33" s="19" t="s">
        <v>142</v>
      </c>
      <c r="D33" s="20" t="s">
        <v>220</v>
      </c>
      <c r="E33" s="21">
        <v>1</v>
      </c>
      <c r="F33" s="21">
        <v>1</v>
      </c>
      <c r="G33" s="21">
        <f t="shared" si="0"/>
        <v>1</v>
      </c>
      <c r="H33" s="29" t="s">
        <v>20</v>
      </c>
      <c r="I33" s="19" t="s">
        <v>138</v>
      </c>
      <c r="J33" s="21">
        <v>0</v>
      </c>
      <c r="K33" s="21" t="s">
        <v>136</v>
      </c>
      <c r="L33" s="23" t="s">
        <v>221</v>
      </c>
      <c r="M33" s="23" t="s">
        <v>17</v>
      </c>
    </row>
    <row r="34" spans="1:13" ht="30" customHeight="1" x14ac:dyDescent="0.25">
      <c r="A34" s="19" t="s">
        <v>52</v>
      </c>
      <c r="B34" s="20" t="s">
        <v>53</v>
      </c>
      <c r="C34" s="19" t="s">
        <v>222</v>
      </c>
      <c r="D34" s="20" t="s">
        <v>223</v>
      </c>
      <c r="E34" s="21">
        <v>5</v>
      </c>
      <c r="F34" s="21">
        <v>2</v>
      </c>
      <c r="G34" s="21">
        <f t="shared" ref="G34:G65" si="1">E34-F34+1</f>
        <v>4</v>
      </c>
      <c r="H34" s="29" t="s">
        <v>20</v>
      </c>
      <c r="I34" s="19" t="s">
        <v>138</v>
      </c>
      <c r="J34" s="21">
        <v>0</v>
      </c>
      <c r="K34" s="21" t="s">
        <v>136</v>
      </c>
      <c r="L34" s="23" t="s">
        <v>224</v>
      </c>
      <c r="M34" s="23" t="s">
        <v>225</v>
      </c>
    </row>
    <row r="35" spans="1:13" ht="18" customHeight="1" x14ac:dyDescent="0.25">
      <c r="A35" s="30" t="s">
        <v>52</v>
      </c>
      <c r="B35" s="31" t="s">
        <v>53</v>
      </c>
      <c r="C35" s="30" t="s">
        <v>226</v>
      </c>
      <c r="D35" s="32" t="s">
        <v>149</v>
      </c>
      <c r="E35" s="33">
        <v>31</v>
      </c>
      <c r="F35" s="33">
        <v>6</v>
      </c>
      <c r="G35" s="33">
        <f t="shared" si="1"/>
        <v>26</v>
      </c>
      <c r="H35" s="34" t="s">
        <v>14</v>
      </c>
      <c r="I35" s="30" t="s">
        <v>138</v>
      </c>
      <c r="J35" s="33">
        <v>0</v>
      </c>
      <c r="K35" s="33" t="s">
        <v>150</v>
      </c>
      <c r="L35" s="35" t="s">
        <v>151</v>
      </c>
      <c r="M35" s="35" t="s">
        <v>17</v>
      </c>
    </row>
    <row r="36" spans="1:13" ht="30" customHeight="1" x14ac:dyDescent="0.25">
      <c r="A36" s="24" t="s">
        <v>56</v>
      </c>
      <c r="B36" s="25" t="s">
        <v>57</v>
      </c>
      <c r="C36" s="24" t="s">
        <v>134</v>
      </c>
      <c r="D36" s="25" t="s">
        <v>227</v>
      </c>
      <c r="E36" s="26">
        <v>31</v>
      </c>
      <c r="F36" s="26">
        <v>0</v>
      </c>
      <c r="G36" s="26">
        <f t="shared" si="1"/>
        <v>32</v>
      </c>
      <c r="H36" s="27" t="s">
        <v>20</v>
      </c>
      <c r="I36" s="24" t="s">
        <v>138</v>
      </c>
      <c r="J36" s="26">
        <v>0</v>
      </c>
      <c r="K36" s="26" t="s">
        <v>136</v>
      </c>
      <c r="L36" s="28" t="s">
        <v>228</v>
      </c>
      <c r="M36" s="28" t="s">
        <v>229</v>
      </c>
    </row>
    <row r="37" spans="1:13" ht="18" customHeight="1" x14ac:dyDescent="0.25">
      <c r="A37" s="24" t="s">
        <v>59</v>
      </c>
      <c r="B37" s="25" t="s">
        <v>60</v>
      </c>
      <c r="C37" s="24" t="s">
        <v>134</v>
      </c>
      <c r="D37" s="25" t="s">
        <v>230</v>
      </c>
      <c r="E37" s="26">
        <v>31</v>
      </c>
      <c r="F37" s="26">
        <v>0</v>
      </c>
      <c r="G37" s="26">
        <f t="shared" si="1"/>
        <v>32</v>
      </c>
      <c r="H37" s="27" t="s">
        <v>20</v>
      </c>
      <c r="I37" s="24" t="s">
        <v>138</v>
      </c>
      <c r="J37" s="26">
        <v>0</v>
      </c>
      <c r="K37" s="26" t="s">
        <v>136</v>
      </c>
      <c r="L37" s="28" t="s">
        <v>231</v>
      </c>
      <c r="M37" s="28" t="s">
        <v>229</v>
      </c>
    </row>
    <row r="38" spans="1:13" ht="75" customHeight="1" x14ac:dyDescent="0.25">
      <c r="A38" s="24" t="s">
        <v>62</v>
      </c>
      <c r="B38" s="25" t="s">
        <v>63</v>
      </c>
      <c r="C38" s="24" t="s">
        <v>138</v>
      </c>
      <c r="D38" s="25" t="s">
        <v>232</v>
      </c>
      <c r="E38" s="26">
        <v>0</v>
      </c>
      <c r="F38" s="26">
        <v>0</v>
      </c>
      <c r="G38" s="26">
        <f t="shared" si="1"/>
        <v>1</v>
      </c>
      <c r="H38" s="37" t="s">
        <v>64</v>
      </c>
      <c r="I38" s="24" t="s">
        <v>17</v>
      </c>
      <c r="J38" s="26">
        <v>0</v>
      </c>
      <c r="K38" s="26" t="s">
        <v>136</v>
      </c>
      <c r="L38" s="28" t="s">
        <v>233</v>
      </c>
      <c r="M38" s="28" t="s">
        <v>234</v>
      </c>
    </row>
    <row r="39" spans="1:13" ht="18" customHeight="1" x14ac:dyDescent="0.25">
      <c r="A39" s="30" t="s">
        <v>62</v>
      </c>
      <c r="B39" s="31" t="s">
        <v>63</v>
      </c>
      <c r="C39" s="30" t="s">
        <v>235</v>
      </c>
      <c r="D39" s="32" t="s">
        <v>149</v>
      </c>
      <c r="E39" s="33">
        <v>31</v>
      </c>
      <c r="F39" s="33">
        <v>1</v>
      </c>
      <c r="G39" s="33">
        <f t="shared" si="1"/>
        <v>31</v>
      </c>
      <c r="H39" s="34" t="s">
        <v>14</v>
      </c>
      <c r="I39" s="30" t="s">
        <v>138</v>
      </c>
      <c r="J39" s="33">
        <v>0</v>
      </c>
      <c r="K39" s="33" t="s">
        <v>150</v>
      </c>
      <c r="L39" s="35" t="s">
        <v>151</v>
      </c>
      <c r="M39" s="35" t="s">
        <v>17</v>
      </c>
    </row>
    <row r="40" spans="1:13" ht="45" customHeight="1" x14ac:dyDescent="0.25">
      <c r="A40" s="24" t="s">
        <v>67</v>
      </c>
      <c r="B40" s="25" t="s">
        <v>68</v>
      </c>
      <c r="C40" s="24" t="s">
        <v>138</v>
      </c>
      <c r="D40" s="25" t="s">
        <v>236</v>
      </c>
      <c r="E40" s="26">
        <v>0</v>
      </c>
      <c r="F40" s="26">
        <v>0</v>
      </c>
      <c r="G40" s="26">
        <f t="shared" si="1"/>
        <v>1</v>
      </c>
      <c r="H40" s="36" t="s">
        <v>14</v>
      </c>
      <c r="I40" s="24" t="s">
        <v>138</v>
      </c>
      <c r="J40" s="26">
        <v>0</v>
      </c>
      <c r="K40" s="26" t="s">
        <v>136</v>
      </c>
      <c r="L40" s="28" t="s">
        <v>237</v>
      </c>
      <c r="M40" s="28" t="s">
        <v>17</v>
      </c>
    </row>
    <row r="41" spans="1:13" ht="18" customHeight="1" x14ac:dyDescent="0.25">
      <c r="A41" s="19" t="s">
        <v>67</v>
      </c>
      <c r="B41" s="20" t="s">
        <v>68</v>
      </c>
      <c r="C41" s="19" t="s">
        <v>142</v>
      </c>
      <c r="D41" s="20" t="s">
        <v>152</v>
      </c>
      <c r="E41" s="21">
        <v>1</v>
      </c>
      <c r="F41" s="21">
        <v>1</v>
      </c>
      <c r="G41" s="21">
        <f t="shared" si="1"/>
        <v>1</v>
      </c>
      <c r="H41" s="22" t="s">
        <v>14</v>
      </c>
      <c r="I41" s="19" t="s">
        <v>138</v>
      </c>
      <c r="J41" s="21">
        <v>0</v>
      </c>
      <c r="K41" s="21" t="s">
        <v>136</v>
      </c>
      <c r="L41" s="23" t="s">
        <v>238</v>
      </c>
      <c r="M41" s="23" t="s">
        <v>17</v>
      </c>
    </row>
    <row r="42" spans="1:13" ht="18" customHeight="1" x14ac:dyDescent="0.25">
      <c r="A42" s="19" t="s">
        <v>67</v>
      </c>
      <c r="B42" s="20" t="s">
        <v>68</v>
      </c>
      <c r="C42" s="19" t="s">
        <v>145</v>
      </c>
      <c r="D42" s="20" t="s">
        <v>154</v>
      </c>
      <c r="E42" s="21">
        <v>2</v>
      </c>
      <c r="F42" s="21">
        <v>2</v>
      </c>
      <c r="G42" s="21">
        <f t="shared" si="1"/>
        <v>1</v>
      </c>
      <c r="H42" s="22" t="s">
        <v>14</v>
      </c>
      <c r="I42" s="19" t="s">
        <v>138</v>
      </c>
      <c r="J42" s="21">
        <v>0</v>
      </c>
      <c r="K42" s="21" t="s">
        <v>136</v>
      </c>
      <c r="L42" s="23" t="s">
        <v>239</v>
      </c>
      <c r="M42" s="23" t="s">
        <v>156</v>
      </c>
    </row>
    <row r="43" spans="1:13" ht="18" customHeight="1" x14ac:dyDescent="0.25">
      <c r="A43" s="19" t="s">
        <v>67</v>
      </c>
      <c r="B43" s="20" t="s">
        <v>68</v>
      </c>
      <c r="C43" s="19" t="s">
        <v>159</v>
      </c>
      <c r="D43" s="20" t="s">
        <v>240</v>
      </c>
      <c r="E43" s="21">
        <v>3</v>
      </c>
      <c r="F43" s="21">
        <v>3</v>
      </c>
      <c r="G43" s="21">
        <f t="shared" si="1"/>
        <v>1</v>
      </c>
      <c r="H43" s="22" t="s">
        <v>14</v>
      </c>
      <c r="I43" s="19" t="s">
        <v>138</v>
      </c>
      <c r="J43" s="21">
        <v>0</v>
      </c>
      <c r="K43" s="21" t="s">
        <v>136</v>
      </c>
      <c r="L43" s="23" t="s">
        <v>239</v>
      </c>
      <c r="M43" s="23" t="s">
        <v>156</v>
      </c>
    </row>
    <row r="44" spans="1:13" ht="18" customHeight="1" x14ac:dyDescent="0.25">
      <c r="A44" s="19" t="s">
        <v>67</v>
      </c>
      <c r="B44" s="20" t="s">
        <v>68</v>
      </c>
      <c r="C44" s="19" t="s">
        <v>162</v>
      </c>
      <c r="D44" s="20" t="s">
        <v>241</v>
      </c>
      <c r="E44" s="21">
        <v>4</v>
      </c>
      <c r="F44" s="21">
        <v>4</v>
      </c>
      <c r="G44" s="21">
        <f t="shared" si="1"/>
        <v>1</v>
      </c>
      <c r="H44" s="22" t="s">
        <v>14</v>
      </c>
      <c r="I44" s="19" t="s">
        <v>138</v>
      </c>
      <c r="J44" s="21">
        <v>0</v>
      </c>
      <c r="K44" s="21" t="s">
        <v>136</v>
      </c>
      <c r="L44" s="23" t="s">
        <v>239</v>
      </c>
      <c r="M44" s="23" t="s">
        <v>156</v>
      </c>
    </row>
    <row r="45" spans="1:13" ht="30" customHeight="1" x14ac:dyDescent="0.25">
      <c r="A45" s="19" t="s">
        <v>67</v>
      </c>
      <c r="B45" s="20" t="s">
        <v>68</v>
      </c>
      <c r="C45" s="19" t="s">
        <v>66</v>
      </c>
      <c r="D45" s="20" t="s">
        <v>242</v>
      </c>
      <c r="E45" s="21">
        <v>5</v>
      </c>
      <c r="F45" s="21">
        <v>5</v>
      </c>
      <c r="G45" s="21">
        <f t="shared" si="1"/>
        <v>1</v>
      </c>
      <c r="H45" s="22" t="s">
        <v>14</v>
      </c>
      <c r="I45" s="19" t="s">
        <v>138</v>
      </c>
      <c r="J45" s="21">
        <v>0</v>
      </c>
      <c r="K45" s="21" t="s">
        <v>136</v>
      </c>
      <c r="L45" s="23" t="s">
        <v>243</v>
      </c>
      <c r="M45" s="23" t="s">
        <v>156</v>
      </c>
    </row>
    <row r="46" spans="1:13" ht="18" customHeight="1" x14ac:dyDescent="0.25">
      <c r="A46" s="30" t="s">
        <v>67</v>
      </c>
      <c r="B46" s="31" t="s">
        <v>68</v>
      </c>
      <c r="C46" s="30" t="s">
        <v>226</v>
      </c>
      <c r="D46" s="32" t="s">
        <v>149</v>
      </c>
      <c r="E46" s="33">
        <v>31</v>
      </c>
      <c r="F46" s="33">
        <v>6</v>
      </c>
      <c r="G46" s="33">
        <f t="shared" si="1"/>
        <v>26</v>
      </c>
      <c r="H46" s="34" t="s">
        <v>14</v>
      </c>
      <c r="I46" s="30" t="s">
        <v>138</v>
      </c>
      <c r="J46" s="33">
        <v>0</v>
      </c>
      <c r="K46" s="33" t="s">
        <v>150</v>
      </c>
      <c r="L46" s="35" t="s">
        <v>151</v>
      </c>
      <c r="M46" s="35" t="s">
        <v>17</v>
      </c>
    </row>
    <row r="47" spans="1:13" ht="18" customHeight="1" x14ac:dyDescent="0.25">
      <c r="A47" s="24" t="s">
        <v>70</v>
      </c>
      <c r="B47" s="25" t="s">
        <v>71</v>
      </c>
      <c r="C47" s="24" t="s">
        <v>197</v>
      </c>
      <c r="D47" s="25" t="s">
        <v>244</v>
      </c>
      <c r="E47" s="26">
        <v>7</v>
      </c>
      <c r="F47" s="26">
        <v>0</v>
      </c>
      <c r="G47" s="26">
        <f t="shared" si="1"/>
        <v>8</v>
      </c>
      <c r="H47" s="36" t="s">
        <v>14</v>
      </c>
      <c r="I47" s="24" t="s">
        <v>138</v>
      </c>
      <c r="J47" s="26">
        <v>0</v>
      </c>
      <c r="K47" s="26" t="s">
        <v>136</v>
      </c>
      <c r="L47" s="28" t="s">
        <v>245</v>
      </c>
      <c r="M47" s="28" t="s">
        <v>246</v>
      </c>
    </row>
    <row r="48" spans="1:13" ht="18" customHeight="1" x14ac:dyDescent="0.25">
      <c r="A48" s="19" t="s">
        <v>70</v>
      </c>
      <c r="B48" s="20" t="s">
        <v>71</v>
      </c>
      <c r="C48" s="19" t="s">
        <v>173</v>
      </c>
      <c r="D48" s="20" t="s">
        <v>247</v>
      </c>
      <c r="E48" s="21">
        <v>8</v>
      </c>
      <c r="F48" s="21">
        <v>8</v>
      </c>
      <c r="G48" s="21">
        <f t="shared" si="1"/>
        <v>1</v>
      </c>
      <c r="H48" s="22" t="s">
        <v>14</v>
      </c>
      <c r="I48" s="19" t="s">
        <v>142</v>
      </c>
      <c r="J48" s="21">
        <v>1</v>
      </c>
      <c r="K48" s="21" t="s">
        <v>136</v>
      </c>
      <c r="L48" s="23" t="s">
        <v>248</v>
      </c>
      <c r="M48" s="23" t="s">
        <v>249</v>
      </c>
    </row>
    <row r="49" spans="1:13" ht="18" customHeight="1" x14ac:dyDescent="0.25">
      <c r="A49" s="19" t="s">
        <v>70</v>
      </c>
      <c r="B49" s="20" t="s">
        <v>71</v>
      </c>
      <c r="C49" s="19" t="s">
        <v>175</v>
      </c>
      <c r="D49" s="20" t="s">
        <v>160</v>
      </c>
      <c r="E49" s="21">
        <v>9</v>
      </c>
      <c r="F49" s="21">
        <v>9</v>
      </c>
      <c r="G49" s="21">
        <f t="shared" si="1"/>
        <v>1</v>
      </c>
      <c r="H49" s="22" t="s">
        <v>14</v>
      </c>
      <c r="I49" s="19" t="s">
        <v>138</v>
      </c>
      <c r="J49" s="21">
        <v>0</v>
      </c>
      <c r="K49" s="21" t="s">
        <v>136</v>
      </c>
      <c r="L49" s="23" t="s">
        <v>250</v>
      </c>
      <c r="M49" s="23" t="s">
        <v>17</v>
      </c>
    </row>
    <row r="50" spans="1:13" ht="18" customHeight="1" x14ac:dyDescent="0.25">
      <c r="A50" s="19" t="s">
        <v>70</v>
      </c>
      <c r="B50" s="20" t="s">
        <v>71</v>
      </c>
      <c r="C50" s="19" t="s">
        <v>177</v>
      </c>
      <c r="D50" s="20" t="s">
        <v>178</v>
      </c>
      <c r="E50" s="21">
        <v>10</v>
      </c>
      <c r="F50" s="21">
        <v>10</v>
      </c>
      <c r="G50" s="21">
        <f t="shared" si="1"/>
        <v>1</v>
      </c>
      <c r="H50" s="22" t="s">
        <v>14</v>
      </c>
      <c r="I50" s="19" t="s">
        <v>138</v>
      </c>
      <c r="J50" s="21">
        <v>0</v>
      </c>
      <c r="K50" s="21" t="s">
        <v>136</v>
      </c>
      <c r="L50" s="23" t="s">
        <v>251</v>
      </c>
      <c r="M50" s="23" t="s">
        <v>180</v>
      </c>
    </row>
    <row r="51" spans="1:13" ht="18" customHeight="1" x14ac:dyDescent="0.25">
      <c r="A51" s="30" t="s">
        <v>70</v>
      </c>
      <c r="B51" s="31" t="s">
        <v>71</v>
      </c>
      <c r="C51" s="30" t="s">
        <v>181</v>
      </c>
      <c r="D51" s="32" t="s">
        <v>149</v>
      </c>
      <c r="E51" s="33">
        <v>31</v>
      </c>
      <c r="F51" s="33">
        <v>11</v>
      </c>
      <c r="G51" s="33">
        <f t="shared" si="1"/>
        <v>21</v>
      </c>
      <c r="H51" s="34" t="s">
        <v>14</v>
      </c>
      <c r="I51" s="30" t="s">
        <v>138</v>
      </c>
      <c r="J51" s="33">
        <v>0</v>
      </c>
      <c r="K51" s="33" t="s">
        <v>150</v>
      </c>
      <c r="L51" s="35" t="s">
        <v>151</v>
      </c>
      <c r="M51" s="35" t="s">
        <v>17</v>
      </c>
    </row>
    <row r="52" spans="1:13" ht="30" customHeight="1" x14ac:dyDescent="0.25">
      <c r="A52" s="24" t="s">
        <v>74</v>
      </c>
      <c r="B52" s="25" t="s">
        <v>75</v>
      </c>
      <c r="C52" s="24" t="s">
        <v>215</v>
      </c>
      <c r="D52" s="25" t="s">
        <v>252</v>
      </c>
      <c r="E52" s="26">
        <v>28</v>
      </c>
      <c r="F52" s="26">
        <v>0</v>
      </c>
      <c r="G52" s="26">
        <f t="shared" si="1"/>
        <v>29</v>
      </c>
      <c r="H52" s="36" t="s">
        <v>14</v>
      </c>
      <c r="I52" s="24" t="s">
        <v>138</v>
      </c>
      <c r="J52" s="26">
        <v>0</v>
      </c>
      <c r="K52" s="26" t="s">
        <v>136</v>
      </c>
      <c r="L52" s="28" t="s">
        <v>253</v>
      </c>
      <c r="M52" s="28" t="s">
        <v>17</v>
      </c>
    </row>
    <row r="53" spans="1:13" ht="18" customHeight="1" x14ac:dyDescent="0.25">
      <c r="A53" s="24" t="s">
        <v>77</v>
      </c>
      <c r="B53" s="25" t="s">
        <v>78</v>
      </c>
      <c r="C53" s="24" t="s">
        <v>138</v>
      </c>
      <c r="D53" s="25" t="s">
        <v>254</v>
      </c>
      <c r="E53" s="26">
        <v>0</v>
      </c>
      <c r="F53" s="26">
        <v>0</v>
      </c>
      <c r="G53" s="26">
        <f t="shared" si="1"/>
        <v>1</v>
      </c>
      <c r="H53" s="36" t="s">
        <v>14</v>
      </c>
      <c r="I53" s="24" t="s">
        <v>138</v>
      </c>
      <c r="J53" s="26">
        <v>0</v>
      </c>
      <c r="K53" s="26" t="s">
        <v>136</v>
      </c>
      <c r="L53" s="28" t="s">
        <v>255</v>
      </c>
      <c r="M53" s="28" t="s">
        <v>17</v>
      </c>
    </row>
    <row r="54" spans="1:13" ht="18" customHeight="1" x14ac:dyDescent="0.25">
      <c r="A54" s="19" t="s">
        <v>77</v>
      </c>
      <c r="B54" s="20" t="s">
        <v>78</v>
      </c>
      <c r="C54" s="19" t="s">
        <v>142</v>
      </c>
      <c r="D54" s="20" t="s">
        <v>256</v>
      </c>
      <c r="E54" s="21">
        <v>1</v>
      </c>
      <c r="F54" s="21">
        <v>1</v>
      </c>
      <c r="G54" s="21">
        <f t="shared" si="1"/>
        <v>1</v>
      </c>
      <c r="H54" s="22" t="s">
        <v>14</v>
      </c>
      <c r="I54" s="19" t="s">
        <v>138</v>
      </c>
      <c r="J54" s="21">
        <v>0</v>
      </c>
      <c r="K54" s="21" t="s">
        <v>136</v>
      </c>
      <c r="L54" s="23" t="s">
        <v>257</v>
      </c>
      <c r="M54" s="23" t="s">
        <v>17</v>
      </c>
    </row>
    <row r="55" spans="1:13" ht="18" customHeight="1" x14ac:dyDescent="0.25">
      <c r="A55" s="19" t="s">
        <v>77</v>
      </c>
      <c r="B55" s="20" t="s">
        <v>78</v>
      </c>
      <c r="C55" s="19" t="s">
        <v>222</v>
      </c>
      <c r="D55" s="20" t="s">
        <v>258</v>
      </c>
      <c r="E55" s="21">
        <v>5</v>
      </c>
      <c r="F55" s="21">
        <v>2</v>
      </c>
      <c r="G55" s="21">
        <f t="shared" si="1"/>
        <v>4</v>
      </c>
      <c r="H55" s="22" t="s">
        <v>14</v>
      </c>
      <c r="I55" s="19" t="s">
        <v>138</v>
      </c>
      <c r="J55" s="21">
        <v>0</v>
      </c>
      <c r="K55" s="21" t="s">
        <v>136</v>
      </c>
      <c r="L55" s="23" t="s">
        <v>259</v>
      </c>
      <c r="M55" s="23" t="s">
        <v>260</v>
      </c>
    </row>
    <row r="56" spans="1:13" ht="18" customHeight="1" x14ac:dyDescent="0.25">
      <c r="A56" s="30" t="s">
        <v>77</v>
      </c>
      <c r="B56" s="31" t="s">
        <v>78</v>
      </c>
      <c r="C56" s="30" t="s">
        <v>226</v>
      </c>
      <c r="D56" s="32" t="s">
        <v>149</v>
      </c>
      <c r="E56" s="33">
        <v>31</v>
      </c>
      <c r="F56" s="33">
        <v>6</v>
      </c>
      <c r="G56" s="33">
        <f t="shared" si="1"/>
        <v>26</v>
      </c>
      <c r="H56" s="34" t="s">
        <v>14</v>
      </c>
      <c r="I56" s="30" t="s">
        <v>138</v>
      </c>
      <c r="J56" s="33">
        <v>0</v>
      </c>
      <c r="K56" s="33" t="s">
        <v>150</v>
      </c>
      <c r="L56" s="35" t="s">
        <v>151</v>
      </c>
      <c r="M56" s="35" t="s">
        <v>17</v>
      </c>
    </row>
    <row r="57" spans="1:13" ht="30" customHeight="1" x14ac:dyDescent="0.25">
      <c r="A57" s="24" t="s">
        <v>80</v>
      </c>
      <c r="B57" s="25" t="s">
        <v>81</v>
      </c>
      <c r="C57" s="24" t="s">
        <v>134</v>
      </c>
      <c r="D57" s="25" t="s">
        <v>261</v>
      </c>
      <c r="E57" s="26">
        <v>31</v>
      </c>
      <c r="F57" s="26">
        <v>0</v>
      </c>
      <c r="G57" s="26">
        <f t="shared" si="1"/>
        <v>32</v>
      </c>
      <c r="H57" s="36" t="s">
        <v>14</v>
      </c>
      <c r="I57" s="24" t="s">
        <v>138</v>
      </c>
      <c r="J57" s="26">
        <v>0</v>
      </c>
      <c r="K57" s="26" t="s">
        <v>136</v>
      </c>
      <c r="L57" s="28" t="s">
        <v>262</v>
      </c>
      <c r="M57" s="28" t="s">
        <v>17</v>
      </c>
    </row>
    <row r="58" spans="1:13" ht="18" customHeight="1" x14ac:dyDescent="0.25">
      <c r="A58" s="24" t="s">
        <v>83</v>
      </c>
      <c r="B58" s="25" t="s">
        <v>84</v>
      </c>
      <c r="C58" s="24" t="s">
        <v>134</v>
      </c>
      <c r="D58" s="25" t="s">
        <v>263</v>
      </c>
      <c r="E58" s="26">
        <v>31</v>
      </c>
      <c r="F58" s="26">
        <v>0</v>
      </c>
      <c r="G58" s="26">
        <f t="shared" si="1"/>
        <v>32</v>
      </c>
      <c r="H58" s="36" t="s">
        <v>14</v>
      </c>
      <c r="I58" s="24" t="s">
        <v>138</v>
      </c>
      <c r="J58" s="26">
        <v>0</v>
      </c>
      <c r="K58" s="26" t="s">
        <v>136</v>
      </c>
      <c r="L58" s="28" t="s">
        <v>264</v>
      </c>
      <c r="M58" s="28" t="s">
        <v>17</v>
      </c>
    </row>
    <row r="59" spans="1:13" ht="60" customHeight="1" x14ac:dyDescent="0.25">
      <c r="A59" s="24" t="s">
        <v>86</v>
      </c>
      <c r="B59" s="25" t="s">
        <v>87</v>
      </c>
      <c r="C59" s="24" t="s">
        <v>138</v>
      </c>
      <c r="D59" s="25" t="s">
        <v>265</v>
      </c>
      <c r="E59" s="26">
        <v>0</v>
      </c>
      <c r="F59" s="26">
        <v>0</v>
      </c>
      <c r="G59" s="26">
        <f t="shared" si="1"/>
        <v>1</v>
      </c>
      <c r="H59" s="37" t="s">
        <v>64</v>
      </c>
      <c r="I59" s="24" t="s">
        <v>17</v>
      </c>
      <c r="J59" s="26">
        <v>0</v>
      </c>
      <c r="K59" s="26" t="s">
        <v>136</v>
      </c>
      <c r="L59" s="28" t="s">
        <v>266</v>
      </c>
      <c r="M59" s="28" t="s">
        <v>267</v>
      </c>
    </row>
    <row r="60" spans="1:13" ht="18" customHeight="1" x14ac:dyDescent="0.25">
      <c r="A60" s="30" t="s">
        <v>86</v>
      </c>
      <c r="B60" s="31" t="s">
        <v>87</v>
      </c>
      <c r="C60" s="30" t="s">
        <v>235</v>
      </c>
      <c r="D60" s="32" t="s">
        <v>149</v>
      </c>
      <c r="E60" s="33">
        <v>31</v>
      </c>
      <c r="F60" s="33">
        <v>1</v>
      </c>
      <c r="G60" s="33">
        <f t="shared" si="1"/>
        <v>31</v>
      </c>
      <c r="H60" s="34" t="s">
        <v>14</v>
      </c>
      <c r="I60" s="30" t="s">
        <v>138</v>
      </c>
      <c r="J60" s="33">
        <v>0</v>
      </c>
      <c r="K60" s="33" t="s">
        <v>150</v>
      </c>
      <c r="L60" s="35" t="s">
        <v>151</v>
      </c>
      <c r="M60" s="35" t="s">
        <v>17</v>
      </c>
    </row>
    <row r="61" spans="1:13" ht="30" customHeight="1" x14ac:dyDescent="0.25">
      <c r="A61" s="24" t="s">
        <v>89</v>
      </c>
      <c r="B61" s="25" t="s">
        <v>90</v>
      </c>
      <c r="C61" s="24" t="s">
        <v>215</v>
      </c>
      <c r="D61" s="25" t="s">
        <v>90</v>
      </c>
      <c r="E61" s="26">
        <v>28</v>
      </c>
      <c r="F61" s="26">
        <v>0</v>
      </c>
      <c r="G61" s="26">
        <f t="shared" si="1"/>
        <v>29</v>
      </c>
      <c r="H61" s="27" t="s">
        <v>20</v>
      </c>
      <c r="I61" s="24" t="s">
        <v>138</v>
      </c>
      <c r="J61" s="26">
        <v>0</v>
      </c>
      <c r="K61" s="26" t="s">
        <v>136</v>
      </c>
      <c r="L61" s="28" t="s">
        <v>268</v>
      </c>
      <c r="M61" s="28" t="s">
        <v>269</v>
      </c>
    </row>
    <row r="62" spans="1:13" ht="30" customHeight="1" x14ac:dyDescent="0.25">
      <c r="A62" s="24" t="s">
        <v>94</v>
      </c>
      <c r="B62" s="25" t="s">
        <v>95</v>
      </c>
      <c r="C62" s="24" t="s">
        <v>215</v>
      </c>
      <c r="D62" s="25" t="s">
        <v>95</v>
      </c>
      <c r="E62" s="26">
        <v>28</v>
      </c>
      <c r="F62" s="26">
        <v>0</v>
      </c>
      <c r="G62" s="26">
        <f t="shared" si="1"/>
        <v>29</v>
      </c>
      <c r="H62" s="27" t="s">
        <v>20</v>
      </c>
      <c r="I62" s="24" t="s">
        <v>138</v>
      </c>
      <c r="J62" s="26">
        <v>0</v>
      </c>
      <c r="K62" s="26" t="s">
        <v>136</v>
      </c>
      <c r="L62" s="28" t="s">
        <v>270</v>
      </c>
      <c r="M62" s="28" t="s">
        <v>269</v>
      </c>
    </row>
    <row r="63" spans="1:13" ht="30" customHeight="1" x14ac:dyDescent="0.25">
      <c r="A63" s="24" t="s">
        <v>97</v>
      </c>
      <c r="B63" s="25" t="s">
        <v>98</v>
      </c>
      <c r="C63" s="24" t="s">
        <v>138</v>
      </c>
      <c r="D63" s="25" t="s">
        <v>271</v>
      </c>
      <c r="E63" s="26">
        <v>0</v>
      </c>
      <c r="F63" s="26">
        <v>0</v>
      </c>
      <c r="G63" s="26">
        <f t="shared" si="1"/>
        <v>1</v>
      </c>
      <c r="H63" s="27" t="s">
        <v>20</v>
      </c>
      <c r="I63" s="24" t="s">
        <v>138</v>
      </c>
      <c r="J63" s="26">
        <v>0</v>
      </c>
      <c r="K63" s="26" t="s">
        <v>136</v>
      </c>
      <c r="L63" s="28" t="s">
        <v>272</v>
      </c>
      <c r="M63" s="28" t="s">
        <v>273</v>
      </c>
    </row>
    <row r="64" spans="1:13" ht="30" customHeight="1" x14ac:dyDescent="0.25">
      <c r="A64" s="19" t="s">
        <v>97</v>
      </c>
      <c r="B64" s="20" t="s">
        <v>98</v>
      </c>
      <c r="C64" s="19" t="s">
        <v>142</v>
      </c>
      <c r="D64" s="20" t="s">
        <v>274</v>
      </c>
      <c r="E64" s="21">
        <v>1</v>
      </c>
      <c r="F64" s="21">
        <v>1</v>
      </c>
      <c r="G64" s="21">
        <f t="shared" si="1"/>
        <v>1</v>
      </c>
      <c r="H64" s="29" t="s">
        <v>20</v>
      </c>
      <c r="I64" s="19" t="s">
        <v>138</v>
      </c>
      <c r="J64" s="21">
        <v>0</v>
      </c>
      <c r="K64" s="21" t="s">
        <v>136</v>
      </c>
      <c r="L64" s="23" t="s">
        <v>275</v>
      </c>
      <c r="M64" s="23" t="s">
        <v>17</v>
      </c>
    </row>
    <row r="65" spans="1:13" ht="30" customHeight="1" x14ac:dyDescent="0.25">
      <c r="A65" s="30" t="s">
        <v>97</v>
      </c>
      <c r="B65" s="31" t="s">
        <v>98</v>
      </c>
      <c r="C65" s="30" t="s">
        <v>276</v>
      </c>
      <c r="D65" s="32" t="s">
        <v>149</v>
      </c>
      <c r="E65" s="33">
        <v>31</v>
      </c>
      <c r="F65" s="33">
        <v>2</v>
      </c>
      <c r="G65" s="33">
        <f t="shared" si="1"/>
        <v>30</v>
      </c>
      <c r="H65" s="34" t="s">
        <v>14</v>
      </c>
      <c r="I65" s="30" t="s">
        <v>138</v>
      </c>
      <c r="J65" s="33">
        <v>0</v>
      </c>
      <c r="K65" s="33" t="s">
        <v>150</v>
      </c>
      <c r="L65" s="35" t="s">
        <v>208</v>
      </c>
      <c r="M65" s="35" t="s">
        <v>209</v>
      </c>
    </row>
    <row r="66" spans="1:13" ht="30" customHeight="1" x14ac:dyDescent="0.25">
      <c r="A66" s="24" t="s">
        <v>100</v>
      </c>
      <c r="B66" s="25" t="s">
        <v>101</v>
      </c>
      <c r="C66" s="24" t="s">
        <v>215</v>
      </c>
      <c r="D66" s="25" t="s">
        <v>101</v>
      </c>
      <c r="E66" s="26">
        <v>28</v>
      </c>
      <c r="F66" s="26">
        <v>0</v>
      </c>
      <c r="G66" s="26">
        <f t="shared" ref="G66:G72" si="2">E66-F66+1</f>
        <v>29</v>
      </c>
      <c r="H66" s="27" t="s">
        <v>20</v>
      </c>
      <c r="I66" s="24" t="s">
        <v>138</v>
      </c>
      <c r="J66" s="26">
        <v>0</v>
      </c>
      <c r="K66" s="26" t="s">
        <v>136</v>
      </c>
      <c r="L66" s="28" t="s">
        <v>277</v>
      </c>
      <c r="M66" s="28" t="s">
        <v>269</v>
      </c>
    </row>
    <row r="67" spans="1:13" ht="30" customHeight="1" x14ac:dyDescent="0.25">
      <c r="A67" s="24" t="s">
        <v>103</v>
      </c>
      <c r="B67" s="25" t="s">
        <v>104</v>
      </c>
      <c r="C67" s="24" t="s">
        <v>215</v>
      </c>
      <c r="D67" s="25" t="s">
        <v>104</v>
      </c>
      <c r="E67" s="26">
        <v>28</v>
      </c>
      <c r="F67" s="26">
        <v>0</v>
      </c>
      <c r="G67" s="26">
        <f t="shared" si="2"/>
        <v>29</v>
      </c>
      <c r="H67" s="27" t="s">
        <v>20</v>
      </c>
      <c r="I67" s="24" t="s">
        <v>138</v>
      </c>
      <c r="J67" s="26">
        <v>0</v>
      </c>
      <c r="K67" s="26" t="s">
        <v>136</v>
      </c>
      <c r="L67" s="28" t="s">
        <v>278</v>
      </c>
      <c r="M67" s="28" t="s">
        <v>269</v>
      </c>
    </row>
    <row r="68" spans="1:13" ht="18" customHeight="1" x14ac:dyDescent="0.25">
      <c r="A68" s="24" t="s">
        <v>106</v>
      </c>
      <c r="B68" s="25" t="s">
        <v>107</v>
      </c>
      <c r="C68" s="24" t="s">
        <v>138</v>
      </c>
      <c r="D68" s="25" t="s">
        <v>279</v>
      </c>
      <c r="E68" s="26">
        <v>0</v>
      </c>
      <c r="F68" s="26">
        <v>0</v>
      </c>
      <c r="G68" s="26">
        <f t="shared" si="2"/>
        <v>1</v>
      </c>
      <c r="H68" s="27" t="s">
        <v>20</v>
      </c>
      <c r="I68" s="24" t="s">
        <v>138</v>
      </c>
      <c r="J68" s="26">
        <v>0</v>
      </c>
      <c r="K68" s="26" t="s">
        <v>136</v>
      </c>
      <c r="L68" s="28" t="s">
        <v>280</v>
      </c>
      <c r="M68" s="28" t="s">
        <v>273</v>
      </c>
    </row>
    <row r="69" spans="1:13" ht="18" customHeight="1" x14ac:dyDescent="0.25">
      <c r="A69" s="19" t="s">
        <v>106</v>
      </c>
      <c r="B69" s="20" t="s">
        <v>107</v>
      </c>
      <c r="C69" s="19" t="s">
        <v>142</v>
      </c>
      <c r="D69" s="20" t="s">
        <v>281</v>
      </c>
      <c r="E69" s="21">
        <v>1</v>
      </c>
      <c r="F69" s="21">
        <v>1</v>
      </c>
      <c r="G69" s="21">
        <f t="shared" si="2"/>
        <v>1</v>
      </c>
      <c r="H69" s="29" t="s">
        <v>20</v>
      </c>
      <c r="I69" s="19" t="s">
        <v>138</v>
      </c>
      <c r="J69" s="21">
        <v>0</v>
      </c>
      <c r="K69" s="21" t="s">
        <v>136</v>
      </c>
      <c r="L69" s="23" t="s">
        <v>282</v>
      </c>
      <c r="M69" s="23" t="s">
        <v>17</v>
      </c>
    </row>
    <row r="70" spans="1:13" ht="30" customHeight="1" x14ac:dyDescent="0.25">
      <c r="A70" s="30" t="s">
        <v>106</v>
      </c>
      <c r="B70" s="31" t="s">
        <v>107</v>
      </c>
      <c r="C70" s="30" t="s">
        <v>276</v>
      </c>
      <c r="D70" s="32" t="s">
        <v>149</v>
      </c>
      <c r="E70" s="33">
        <v>31</v>
      </c>
      <c r="F70" s="33">
        <v>2</v>
      </c>
      <c r="G70" s="33">
        <f t="shared" si="2"/>
        <v>30</v>
      </c>
      <c r="H70" s="34" t="s">
        <v>14</v>
      </c>
      <c r="I70" s="30" t="s">
        <v>138</v>
      </c>
      <c r="J70" s="33">
        <v>0</v>
      </c>
      <c r="K70" s="33" t="s">
        <v>150</v>
      </c>
      <c r="L70" s="35" t="s">
        <v>208</v>
      </c>
      <c r="M70" s="35" t="s">
        <v>209</v>
      </c>
    </row>
    <row r="71" spans="1:13" ht="18" customHeight="1" x14ac:dyDescent="0.25">
      <c r="A71" s="24" t="s">
        <v>109</v>
      </c>
      <c r="B71" s="25" t="s">
        <v>110</v>
      </c>
      <c r="C71" s="24" t="s">
        <v>283</v>
      </c>
      <c r="D71" s="25" t="s">
        <v>110</v>
      </c>
      <c r="E71" s="26">
        <v>8</v>
      </c>
      <c r="F71" s="26">
        <v>0</v>
      </c>
      <c r="G71" s="26">
        <f t="shared" si="2"/>
        <v>9</v>
      </c>
      <c r="H71" s="36" t="s">
        <v>14</v>
      </c>
      <c r="I71" s="24" t="s">
        <v>138</v>
      </c>
      <c r="J71" s="26">
        <v>0</v>
      </c>
      <c r="K71" s="26" t="s">
        <v>136</v>
      </c>
      <c r="L71" s="28" t="s">
        <v>284</v>
      </c>
      <c r="M71" s="28" t="s">
        <v>285</v>
      </c>
    </row>
    <row r="72" spans="1:13" ht="18" customHeight="1" x14ac:dyDescent="0.25">
      <c r="A72" s="24" t="s">
        <v>113</v>
      </c>
      <c r="B72" s="25" t="s">
        <v>114</v>
      </c>
      <c r="C72" s="24" t="s">
        <v>197</v>
      </c>
      <c r="D72" s="25" t="s">
        <v>114</v>
      </c>
      <c r="E72" s="26">
        <v>7</v>
      </c>
      <c r="F72" s="26">
        <v>0</v>
      </c>
      <c r="G72" s="26">
        <f t="shared" si="2"/>
        <v>8</v>
      </c>
      <c r="H72" s="36" t="s">
        <v>14</v>
      </c>
      <c r="I72" s="24" t="s">
        <v>138</v>
      </c>
      <c r="J72" s="26">
        <v>0</v>
      </c>
      <c r="K72" s="26" t="s">
        <v>136</v>
      </c>
      <c r="L72" s="28" t="s">
        <v>286</v>
      </c>
      <c r="M72" s="28" t="s">
        <v>287</v>
      </c>
    </row>
    <row r="74" spans="1:13" x14ac:dyDescent="0.25">
      <c r="A74" s="3" t="s">
        <v>288</v>
      </c>
    </row>
  </sheetData>
  <autoFilter ref="A1:M72" xr:uid="{00000000-0009-0000-0000-000001000000}"/>
  <pageMargins left="0.75" right="0.75" top="1" bottom="1" header="0.511811023622047" footer="0.511811023622047"/>
  <pageSetup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H33"/>
  <sheetViews>
    <sheetView showGridLines="0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ColWidth="8.7109375" defaultRowHeight="15" x14ac:dyDescent="0.25"/>
  <cols>
    <col min="1" max="1" width="8" customWidth="1"/>
    <col min="2" max="2" width="15" customWidth="1"/>
    <col min="3" max="34" width="5.5703125" customWidth="1"/>
  </cols>
  <sheetData>
    <row r="1" spans="1:34" ht="18" x14ac:dyDescent="0.25">
      <c r="A1" s="38" t="s">
        <v>289</v>
      </c>
    </row>
    <row r="2" spans="1:34" x14ac:dyDescent="0.25">
      <c r="C2" s="49" t="s">
        <v>290</v>
      </c>
      <c r="D2" s="49"/>
      <c r="E2" s="49"/>
      <c r="F2" s="49"/>
      <c r="G2" s="49"/>
      <c r="H2" s="49"/>
      <c r="I2" s="50" t="s">
        <v>291</v>
      </c>
      <c r="J2" s="50"/>
      <c r="K2" s="50"/>
      <c r="L2" s="50"/>
      <c r="M2" s="50"/>
      <c r="N2" s="50"/>
      <c r="O2" s="51" t="s">
        <v>292</v>
      </c>
      <c r="P2" s="51"/>
      <c r="Q2" s="51"/>
      <c r="R2" s="51"/>
      <c r="S2" s="51"/>
      <c r="T2" s="51"/>
      <c r="U2" s="52" t="s">
        <v>293</v>
      </c>
      <c r="V2" s="52"/>
      <c r="W2" s="52"/>
      <c r="X2" s="52"/>
      <c r="Y2" s="52"/>
      <c r="Z2" s="52"/>
      <c r="AA2" s="53" t="s">
        <v>294</v>
      </c>
      <c r="AB2" s="53"/>
      <c r="AC2" s="53"/>
      <c r="AD2" s="53"/>
      <c r="AE2" s="53"/>
      <c r="AF2" s="53"/>
    </row>
    <row r="4" spans="1:34" x14ac:dyDescent="0.25">
      <c r="A4" s="39" t="s">
        <v>3</v>
      </c>
      <c r="B4" s="39" t="s">
        <v>4</v>
      </c>
      <c r="C4" s="39">
        <v>31</v>
      </c>
      <c r="D4" s="39">
        <v>30</v>
      </c>
      <c r="E4" s="39">
        <v>29</v>
      </c>
      <c r="F4" s="39">
        <v>28</v>
      </c>
      <c r="G4" s="39">
        <v>27</v>
      </c>
      <c r="H4" s="39">
        <v>26</v>
      </c>
      <c r="I4" s="39">
        <v>25</v>
      </c>
      <c r="J4" s="39">
        <v>24</v>
      </c>
      <c r="K4" s="39">
        <v>23</v>
      </c>
      <c r="L4" s="39">
        <v>22</v>
      </c>
      <c r="M4" s="39">
        <v>21</v>
      </c>
      <c r="N4" s="39">
        <v>20</v>
      </c>
      <c r="O4" s="39">
        <v>19</v>
      </c>
      <c r="P4" s="39">
        <v>18</v>
      </c>
      <c r="Q4" s="39">
        <v>17</v>
      </c>
      <c r="R4" s="39">
        <v>16</v>
      </c>
      <c r="S4" s="39">
        <v>15</v>
      </c>
      <c r="T4" s="39">
        <v>14</v>
      </c>
      <c r="U4" s="39">
        <v>13</v>
      </c>
      <c r="V4" s="39">
        <v>12</v>
      </c>
      <c r="W4" s="39">
        <v>11</v>
      </c>
      <c r="X4" s="39">
        <v>10</v>
      </c>
      <c r="Y4" s="39">
        <v>9</v>
      </c>
      <c r="Z4" s="39">
        <v>8</v>
      </c>
      <c r="AA4" s="39">
        <v>7</v>
      </c>
      <c r="AB4" s="39">
        <v>6</v>
      </c>
      <c r="AC4" s="39">
        <v>5</v>
      </c>
      <c r="AD4" s="39">
        <v>4</v>
      </c>
      <c r="AE4" s="39">
        <v>3</v>
      </c>
      <c r="AF4" s="39">
        <v>2</v>
      </c>
      <c r="AG4" s="39">
        <v>1</v>
      </c>
      <c r="AH4" s="39">
        <v>0</v>
      </c>
    </row>
    <row r="5" spans="1:34" ht="33.75" customHeight="1" x14ac:dyDescent="0.25">
      <c r="A5" s="40" t="s">
        <v>12</v>
      </c>
      <c r="B5" s="41" t="s">
        <v>13</v>
      </c>
      <c r="C5" s="54" t="s">
        <v>13</v>
      </c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  <c r="AA5" s="54"/>
      <c r="AB5" s="54"/>
      <c r="AC5" s="54"/>
      <c r="AD5" s="54"/>
      <c r="AE5" s="54"/>
      <c r="AF5" s="54"/>
      <c r="AG5" s="54"/>
      <c r="AH5" s="54"/>
    </row>
    <row r="6" spans="1:34" ht="70.5" customHeight="1" x14ac:dyDescent="0.25">
      <c r="A6" s="40" t="s">
        <v>18</v>
      </c>
      <c r="B6" s="41" t="s">
        <v>19</v>
      </c>
      <c r="C6" s="55" t="s">
        <v>149</v>
      </c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  <c r="AA6" s="55"/>
      <c r="AB6" s="55"/>
      <c r="AC6" s="55"/>
      <c r="AD6" s="55"/>
      <c r="AE6" s="55"/>
      <c r="AF6" s="42" t="s">
        <v>146</v>
      </c>
      <c r="AG6" s="42" t="s">
        <v>143</v>
      </c>
      <c r="AH6" s="42" t="s">
        <v>139</v>
      </c>
    </row>
    <row r="7" spans="1:34" ht="75.75" customHeight="1" x14ac:dyDescent="0.25">
      <c r="A7" s="40" t="s">
        <v>24</v>
      </c>
      <c r="B7" s="41" t="s">
        <v>25</v>
      </c>
      <c r="C7" s="55" t="s">
        <v>149</v>
      </c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1" t="s">
        <v>178</v>
      </c>
      <c r="Y7" s="1" t="s">
        <v>176</v>
      </c>
      <c r="Z7" s="1" t="s">
        <v>174</v>
      </c>
      <c r="AA7" s="1" t="s">
        <v>172</v>
      </c>
      <c r="AB7" s="1" t="s">
        <v>170</v>
      </c>
      <c r="AC7" s="1" t="s">
        <v>166</v>
      </c>
      <c r="AD7" s="1" t="s">
        <v>163</v>
      </c>
      <c r="AE7" s="1" t="s">
        <v>160</v>
      </c>
      <c r="AF7" s="1" t="s">
        <v>157</v>
      </c>
      <c r="AG7" s="1" t="s">
        <v>154</v>
      </c>
      <c r="AH7" s="1" t="s">
        <v>152</v>
      </c>
    </row>
    <row r="8" spans="1:34" ht="96.75" customHeight="1" x14ac:dyDescent="0.25">
      <c r="A8" s="40" t="s">
        <v>29</v>
      </c>
      <c r="B8" s="41" t="s">
        <v>30</v>
      </c>
      <c r="C8" s="55" t="s">
        <v>149</v>
      </c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54" t="s">
        <v>191</v>
      </c>
      <c r="AB8" s="54"/>
      <c r="AC8" s="54"/>
      <c r="AD8" s="54"/>
      <c r="AE8" s="1" t="s">
        <v>188</v>
      </c>
      <c r="AF8" s="1" t="s">
        <v>186</v>
      </c>
      <c r="AG8" s="56" t="s">
        <v>183</v>
      </c>
      <c r="AH8" s="56"/>
    </row>
    <row r="9" spans="1:34" ht="33.75" customHeight="1" x14ac:dyDescent="0.25">
      <c r="A9" s="40" t="s">
        <v>33</v>
      </c>
      <c r="B9" s="41" t="s">
        <v>34</v>
      </c>
      <c r="C9" s="57" t="s">
        <v>34</v>
      </c>
      <c r="D9" s="57"/>
      <c r="E9" s="57"/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  <c r="AF9" s="57"/>
      <c r="AG9" s="57"/>
      <c r="AH9" s="57"/>
    </row>
    <row r="10" spans="1:34" ht="33.75" customHeight="1" x14ac:dyDescent="0.25">
      <c r="A10" s="40" t="s">
        <v>39</v>
      </c>
      <c r="B10" s="41" t="s">
        <v>40</v>
      </c>
      <c r="C10" s="55" t="s">
        <v>149</v>
      </c>
      <c r="D10" s="55"/>
      <c r="E10" s="55"/>
      <c r="F10" s="55"/>
      <c r="G10" s="55"/>
      <c r="H10" s="55"/>
      <c r="I10" s="55"/>
      <c r="J10" s="55"/>
      <c r="K10" s="57" t="s">
        <v>205</v>
      </c>
      <c r="L10" s="57"/>
      <c r="M10" s="57"/>
      <c r="N10" s="57"/>
      <c r="O10" s="57"/>
      <c r="P10" s="57"/>
      <c r="Q10" s="57"/>
      <c r="R10" s="57"/>
      <c r="S10" s="57" t="s">
        <v>202</v>
      </c>
      <c r="T10" s="57"/>
      <c r="U10" s="57"/>
      <c r="V10" s="57"/>
      <c r="W10" s="57"/>
      <c r="X10" s="57"/>
      <c r="Y10" s="57"/>
      <c r="Z10" s="57"/>
      <c r="AA10" s="57" t="s">
        <v>198</v>
      </c>
      <c r="AB10" s="57"/>
      <c r="AC10" s="57"/>
      <c r="AD10" s="57"/>
      <c r="AE10" s="57"/>
      <c r="AF10" s="57"/>
      <c r="AG10" s="57"/>
      <c r="AH10" s="57"/>
    </row>
    <row r="11" spans="1:34" ht="33.75" customHeight="1" x14ac:dyDescent="0.25">
      <c r="A11" s="40" t="s">
        <v>44</v>
      </c>
      <c r="B11" s="41" t="s">
        <v>45</v>
      </c>
      <c r="C11" s="55" t="s">
        <v>149</v>
      </c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  <c r="AA11" s="55"/>
      <c r="AB11" s="55"/>
      <c r="AC11" s="55"/>
      <c r="AD11" s="55"/>
      <c r="AE11" s="57" t="s">
        <v>211</v>
      </c>
      <c r="AF11" s="57"/>
      <c r="AG11" s="57"/>
      <c r="AH11" s="57"/>
    </row>
    <row r="12" spans="1:34" ht="33.75" customHeight="1" x14ac:dyDescent="0.25">
      <c r="A12" s="40" t="s">
        <v>47</v>
      </c>
      <c r="B12" s="41" t="s">
        <v>48</v>
      </c>
      <c r="C12" s="58" t="s">
        <v>295</v>
      </c>
      <c r="D12" s="58"/>
      <c r="E12" s="58"/>
      <c r="F12" s="57" t="s">
        <v>216</v>
      </c>
      <c r="G12" s="57"/>
      <c r="H12" s="57"/>
      <c r="I12" s="57"/>
      <c r="J12" s="57"/>
      <c r="K12" s="57"/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  <c r="AA12" s="57"/>
      <c r="AB12" s="57"/>
      <c r="AC12" s="57"/>
      <c r="AD12" s="57"/>
      <c r="AE12" s="57"/>
      <c r="AF12" s="57"/>
      <c r="AG12" s="57"/>
      <c r="AH12" s="57"/>
    </row>
    <row r="13" spans="1:34" ht="45" customHeight="1" x14ac:dyDescent="0.25">
      <c r="A13" s="40" t="s">
        <v>52</v>
      </c>
      <c r="B13" s="41" t="s">
        <v>53</v>
      </c>
      <c r="C13" s="55" t="s">
        <v>149</v>
      </c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  <c r="AA13" s="55"/>
      <c r="AB13" s="55"/>
      <c r="AC13" s="57" t="s">
        <v>223</v>
      </c>
      <c r="AD13" s="57"/>
      <c r="AE13" s="57"/>
      <c r="AF13" s="57"/>
      <c r="AG13" s="42" t="s">
        <v>220</v>
      </c>
      <c r="AH13" s="42" t="s">
        <v>218</v>
      </c>
    </row>
    <row r="14" spans="1:34" ht="33.75" customHeight="1" x14ac:dyDescent="0.25">
      <c r="A14" s="40" t="s">
        <v>56</v>
      </c>
      <c r="B14" s="41" t="s">
        <v>57</v>
      </c>
      <c r="C14" s="57" t="s">
        <v>227</v>
      </c>
      <c r="D14" s="57"/>
      <c r="E14" s="57"/>
      <c r="F14" s="57"/>
      <c r="G14" s="57"/>
      <c r="H14" s="57"/>
      <c r="I14" s="57"/>
      <c r="J14" s="57"/>
      <c r="K14" s="57"/>
      <c r="L14" s="57"/>
      <c r="M14" s="57"/>
      <c r="N14" s="57"/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  <c r="AA14" s="57"/>
      <c r="AB14" s="57"/>
      <c r="AC14" s="57"/>
      <c r="AD14" s="57"/>
      <c r="AE14" s="57"/>
      <c r="AF14" s="57"/>
      <c r="AG14" s="57"/>
      <c r="AH14" s="57"/>
    </row>
    <row r="15" spans="1:34" ht="33.75" customHeight="1" x14ac:dyDescent="0.25">
      <c r="A15" s="40" t="s">
        <v>59</v>
      </c>
      <c r="B15" s="41" t="s">
        <v>60</v>
      </c>
      <c r="C15" s="57" t="s">
        <v>230</v>
      </c>
      <c r="D15" s="57"/>
      <c r="E15" s="57"/>
      <c r="F15" s="57"/>
      <c r="G15" s="57"/>
      <c r="H15" s="57"/>
      <c r="I15" s="57"/>
      <c r="J15" s="57"/>
      <c r="K15" s="57"/>
      <c r="L15" s="57"/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57"/>
      <c r="AH15" s="57"/>
    </row>
    <row r="16" spans="1:34" ht="55.5" customHeight="1" x14ac:dyDescent="0.25">
      <c r="A16" s="40" t="s">
        <v>62</v>
      </c>
      <c r="B16" s="41" t="s">
        <v>63</v>
      </c>
      <c r="C16" s="55" t="s">
        <v>149</v>
      </c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5"/>
      <c r="AB16" s="55"/>
      <c r="AC16" s="55"/>
      <c r="AD16" s="55"/>
      <c r="AE16" s="55"/>
      <c r="AF16" s="55"/>
      <c r="AG16" s="55"/>
      <c r="AH16" s="43" t="s">
        <v>232</v>
      </c>
    </row>
    <row r="17" spans="1:34" ht="112.5" customHeight="1" x14ac:dyDescent="0.25">
      <c r="A17" s="40" t="s">
        <v>67</v>
      </c>
      <c r="B17" s="41" t="s">
        <v>68</v>
      </c>
      <c r="C17" s="55" t="s">
        <v>149</v>
      </c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  <c r="AA17" s="55"/>
      <c r="AB17" s="55"/>
      <c r="AC17" s="1" t="s">
        <v>242</v>
      </c>
      <c r="AD17" s="1" t="s">
        <v>241</v>
      </c>
      <c r="AE17" s="1" t="s">
        <v>240</v>
      </c>
      <c r="AF17" s="1" t="s">
        <v>154</v>
      </c>
      <c r="AG17" s="1" t="s">
        <v>152</v>
      </c>
      <c r="AH17" s="1" t="s">
        <v>236</v>
      </c>
    </row>
    <row r="18" spans="1:34" ht="75.75" customHeight="1" x14ac:dyDescent="0.25">
      <c r="A18" s="40" t="s">
        <v>70</v>
      </c>
      <c r="B18" s="41" t="s">
        <v>71</v>
      </c>
      <c r="C18" s="55" t="s">
        <v>149</v>
      </c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1" t="s">
        <v>178</v>
      </c>
      <c r="Y18" s="1" t="s">
        <v>160</v>
      </c>
      <c r="Z18" s="1" t="s">
        <v>247</v>
      </c>
      <c r="AA18" s="54" t="s">
        <v>244</v>
      </c>
      <c r="AB18" s="54"/>
      <c r="AC18" s="54"/>
      <c r="AD18" s="54"/>
      <c r="AE18" s="54"/>
      <c r="AF18" s="54"/>
      <c r="AG18" s="54"/>
      <c r="AH18" s="54"/>
    </row>
    <row r="19" spans="1:34" ht="33.75" customHeight="1" x14ac:dyDescent="0.25">
      <c r="A19" s="40" t="s">
        <v>74</v>
      </c>
      <c r="B19" s="41" t="s">
        <v>75</v>
      </c>
      <c r="C19" s="58" t="s">
        <v>295</v>
      </c>
      <c r="D19" s="58"/>
      <c r="E19" s="58"/>
      <c r="F19" s="54" t="s">
        <v>252</v>
      </c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  <c r="AA19" s="54"/>
      <c r="AB19" s="54"/>
      <c r="AC19" s="54"/>
      <c r="AD19" s="54"/>
      <c r="AE19" s="54"/>
      <c r="AF19" s="54"/>
      <c r="AG19" s="54"/>
      <c r="AH19" s="54"/>
    </row>
    <row r="20" spans="1:34" ht="45" customHeight="1" x14ac:dyDescent="0.25">
      <c r="A20" s="40" t="s">
        <v>77</v>
      </c>
      <c r="B20" s="41" t="s">
        <v>78</v>
      </c>
      <c r="C20" s="55" t="s">
        <v>149</v>
      </c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  <c r="AA20" s="55"/>
      <c r="AB20" s="55"/>
      <c r="AC20" s="54" t="s">
        <v>258</v>
      </c>
      <c r="AD20" s="54"/>
      <c r="AE20" s="54"/>
      <c r="AF20" s="54"/>
      <c r="AG20" s="1" t="s">
        <v>256</v>
      </c>
      <c r="AH20" s="1" t="s">
        <v>254</v>
      </c>
    </row>
    <row r="21" spans="1:34" ht="33.75" customHeight="1" x14ac:dyDescent="0.25">
      <c r="A21" s="40" t="s">
        <v>80</v>
      </c>
      <c r="B21" s="41" t="s">
        <v>81</v>
      </c>
      <c r="C21" s="54" t="s">
        <v>261</v>
      </c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4"/>
      <c r="AA21" s="54"/>
      <c r="AB21" s="54"/>
      <c r="AC21" s="54"/>
      <c r="AD21" s="54"/>
      <c r="AE21" s="54"/>
      <c r="AF21" s="54"/>
      <c r="AG21" s="54"/>
      <c r="AH21" s="54"/>
    </row>
    <row r="22" spans="1:34" ht="33.75" customHeight="1" x14ac:dyDescent="0.25">
      <c r="A22" s="40" t="s">
        <v>83</v>
      </c>
      <c r="B22" s="41" t="s">
        <v>84</v>
      </c>
      <c r="C22" s="54" t="s">
        <v>263</v>
      </c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  <c r="AA22" s="54"/>
      <c r="AB22" s="54"/>
      <c r="AC22" s="54"/>
      <c r="AD22" s="54"/>
      <c r="AE22" s="54"/>
      <c r="AF22" s="54"/>
      <c r="AG22" s="54"/>
      <c r="AH22" s="54"/>
    </row>
    <row r="23" spans="1:34" ht="45" customHeight="1" x14ac:dyDescent="0.25">
      <c r="A23" s="40" t="s">
        <v>86</v>
      </c>
      <c r="B23" s="41" t="s">
        <v>87</v>
      </c>
      <c r="C23" s="55" t="s">
        <v>149</v>
      </c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5"/>
      <c r="AC23" s="55"/>
      <c r="AD23" s="55"/>
      <c r="AE23" s="55"/>
      <c r="AF23" s="55"/>
      <c r="AG23" s="55"/>
      <c r="AH23" s="43" t="s">
        <v>265</v>
      </c>
    </row>
    <row r="24" spans="1:34" ht="33.75" customHeight="1" x14ac:dyDescent="0.25">
      <c r="A24" s="40" t="s">
        <v>89</v>
      </c>
      <c r="B24" s="41" t="s">
        <v>90</v>
      </c>
      <c r="C24" s="58" t="s">
        <v>295</v>
      </c>
      <c r="D24" s="58"/>
      <c r="E24" s="58"/>
      <c r="F24" s="57" t="s">
        <v>90</v>
      </c>
      <c r="G24" s="57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7"/>
      <c r="AF24" s="57"/>
      <c r="AG24" s="57"/>
      <c r="AH24" s="57"/>
    </row>
    <row r="25" spans="1:34" ht="33.75" customHeight="1" x14ac:dyDescent="0.25">
      <c r="A25" s="40" t="s">
        <v>94</v>
      </c>
      <c r="B25" s="41" t="s">
        <v>95</v>
      </c>
      <c r="C25" s="58" t="s">
        <v>295</v>
      </c>
      <c r="D25" s="58"/>
      <c r="E25" s="58"/>
      <c r="F25" s="57" t="s">
        <v>95</v>
      </c>
      <c r="G25" s="57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  <c r="AA25" s="57"/>
      <c r="AB25" s="57"/>
      <c r="AC25" s="57"/>
      <c r="AD25" s="57"/>
      <c r="AE25" s="57"/>
      <c r="AF25" s="57"/>
      <c r="AG25" s="57"/>
      <c r="AH25" s="57"/>
    </row>
    <row r="26" spans="1:34" ht="86.25" customHeight="1" x14ac:dyDescent="0.25">
      <c r="A26" s="40" t="s">
        <v>97</v>
      </c>
      <c r="B26" s="41" t="s">
        <v>98</v>
      </c>
      <c r="C26" s="55" t="s">
        <v>149</v>
      </c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5"/>
      <c r="AC26" s="55"/>
      <c r="AD26" s="55"/>
      <c r="AE26" s="55"/>
      <c r="AF26" s="55"/>
      <c r="AG26" s="42" t="s">
        <v>274</v>
      </c>
      <c r="AH26" s="42" t="s">
        <v>271</v>
      </c>
    </row>
    <row r="27" spans="1:34" ht="33.75" customHeight="1" x14ac:dyDescent="0.25">
      <c r="A27" s="40" t="s">
        <v>100</v>
      </c>
      <c r="B27" s="41" t="s">
        <v>101</v>
      </c>
      <c r="C27" s="58" t="s">
        <v>295</v>
      </c>
      <c r="D27" s="58"/>
      <c r="E27" s="58"/>
      <c r="F27" s="57" t="s">
        <v>101</v>
      </c>
      <c r="G27" s="57"/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  <c r="AA27" s="57"/>
      <c r="AB27" s="57"/>
      <c r="AC27" s="57"/>
      <c r="AD27" s="57"/>
      <c r="AE27" s="57"/>
      <c r="AF27" s="57"/>
      <c r="AG27" s="57"/>
      <c r="AH27" s="57"/>
    </row>
    <row r="28" spans="1:34" ht="33.75" customHeight="1" x14ac:dyDescent="0.25">
      <c r="A28" s="40" t="s">
        <v>103</v>
      </c>
      <c r="B28" s="41" t="s">
        <v>104</v>
      </c>
      <c r="C28" s="58" t="s">
        <v>295</v>
      </c>
      <c r="D28" s="58"/>
      <c r="E28" s="58"/>
      <c r="F28" s="57" t="s">
        <v>104</v>
      </c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  <c r="AA28" s="57"/>
      <c r="AB28" s="57"/>
      <c r="AC28" s="57"/>
      <c r="AD28" s="57"/>
      <c r="AE28" s="57"/>
      <c r="AF28" s="57"/>
      <c r="AG28" s="57"/>
      <c r="AH28" s="57"/>
    </row>
    <row r="29" spans="1:34" ht="86.25" customHeight="1" x14ac:dyDescent="0.25">
      <c r="A29" s="40" t="s">
        <v>106</v>
      </c>
      <c r="B29" s="41" t="s">
        <v>107</v>
      </c>
      <c r="C29" s="55" t="s">
        <v>149</v>
      </c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5"/>
      <c r="AC29" s="55"/>
      <c r="AD29" s="55"/>
      <c r="AE29" s="55"/>
      <c r="AF29" s="55"/>
      <c r="AG29" s="42" t="s">
        <v>281</v>
      </c>
      <c r="AH29" s="42" t="s">
        <v>279</v>
      </c>
    </row>
    <row r="30" spans="1:34" ht="33.75" customHeight="1" x14ac:dyDescent="0.25">
      <c r="A30" s="40" t="s">
        <v>109</v>
      </c>
      <c r="B30" s="41" t="s">
        <v>110</v>
      </c>
      <c r="C30" s="58" t="s">
        <v>295</v>
      </c>
      <c r="D30" s="58"/>
      <c r="E30" s="58"/>
      <c r="F30" s="58"/>
      <c r="G30" s="58"/>
      <c r="H30" s="58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4" t="s">
        <v>110</v>
      </c>
      <c r="AA30" s="54"/>
      <c r="AB30" s="54"/>
      <c r="AC30" s="54"/>
      <c r="AD30" s="54"/>
      <c r="AE30" s="54"/>
      <c r="AF30" s="54"/>
      <c r="AG30" s="54"/>
      <c r="AH30" s="54"/>
    </row>
    <row r="31" spans="1:34" ht="33.75" customHeight="1" x14ac:dyDescent="0.25">
      <c r="A31" s="40" t="s">
        <v>113</v>
      </c>
      <c r="B31" s="41" t="s">
        <v>114</v>
      </c>
      <c r="C31" s="58" t="s">
        <v>295</v>
      </c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4" t="s">
        <v>114</v>
      </c>
      <c r="AB31" s="54"/>
      <c r="AC31" s="54"/>
      <c r="AD31" s="54"/>
      <c r="AE31" s="54"/>
      <c r="AF31" s="54"/>
      <c r="AG31" s="54"/>
      <c r="AH31" s="54"/>
    </row>
    <row r="33" spans="1:1" x14ac:dyDescent="0.25">
      <c r="A33" s="3" t="s">
        <v>296</v>
      </c>
    </row>
  </sheetData>
  <mergeCells count="49">
    <mergeCell ref="C29:AF29"/>
    <mergeCell ref="C30:Y30"/>
    <mergeCell ref="Z30:AH30"/>
    <mergeCell ref="C31:Z31"/>
    <mergeCell ref="AA31:AH31"/>
    <mergeCell ref="C26:AF26"/>
    <mergeCell ref="C27:E27"/>
    <mergeCell ref="F27:AH27"/>
    <mergeCell ref="C28:E28"/>
    <mergeCell ref="F28:AH28"/>
    <mergeCell ref="C22:AH22"/>
    <mergeCell ref="C23:AG23"/>
    <mergeCell ref="C24:E24"/>
    <mergeCell ref="F24:AH24"/>
    <mergeCell ref="C25:E25"/>
    <mergeCell ref="F25:AH25"/>
    <mergeCell ref="C19:E19"/>
    <mergeCell ref="F19:AH19"/>
    <mergeCell ref="C20:AB20"/>
    <mergeCell ref="AC20:AF20"/>
    <mergeCell ref="C21:AH21"/>
    <mergeCell ref="C14:AH14"/>
    <mergeCell ref="C15:AH15"/>
    <mergeCell ref="C16:AG16"/>
    <mergeCell ref="C17:AB17"/>
    <mergeCell ref="C18:W18"/>
    <mergeCell ref="AA18:AH18"/>
    <mergeCell ref="C11:AD11"/>
    <mergeCell ref="AE11:AH11"/>
    <mergeCell ref="C12:E12"/>
    <mergeCell ref="F12:AH12"/>
    <mergeCell ref="C13:AB13"/>
    <mergeCell ref="AC13:AF13"/>
    <mergeCell ref="C9:AH9"/>
    <mergeCell ref="C10:J10"/>
    <mergeCell ref="K10:R10"/>
    <mergeCell ref="S10:Z10"/>
    <mergeCell ref="AA10:AH10"/>
    <mergeCell ref="C5:AH5"/>
    <mergeCell ref="C6:AE6"/>
    <mergeCell ref="C7:W7"/>
    <mergeCell ref="C8:Z8"/>
    <mergeCell ref="AA8:AD8"/>
    <mergeCell ref="AG8:AH8"/>
    <mergeCell ref="C2:H2"/>
    <mergeCell ref="I2:N2"/>
    <mergeCell ref="O2:T2"/>
    <mergeCell ref="U2:Z2"/>
    <mergeCell ref="AA2:AF2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C58"/>
  <sheetViews>
    <sheetView showGridLines="0" zoomScaleNormal="100" workbookViewId="0"/>
  </sheetViews>
  <sheetFormatPr defaultColWidth="8.7109375" defaultRowHeight="15" x14ac:dyDescent="0.25"/>
  <cols>
    <col min="1" max="1" width="44" customWidth="1"/>
    <col min="2" max="2" width="100" customWidth="1"/>
    <col min="3" max="3" width="34" customWidth="1"/>
  </cols>
  <sheetData>
    <row r="1" spans="1:3" ht="18" x14ac:dyDescent="0.25">
      <c r="A1" s="38" t="s">
        <v>297</v>
      </c>
    </row>
    <row r="3" spans="1:3" ht="15.75" x14ac:dyDescent="0.25">
      <c r="A3" s="44" t="s">
        <v>298</v>
      </c>
    </row>
    <row r="4" spans="1:3" x14ac:dyDescent="0.25">
      <c r="A4" s="45" t="s">
        <v>299</v>
      </c>
      <c r="B4" s="45" t="s">
        <v>300</v>
      </c>
      <c r="C4" s="45" t="s">
        <v>301</v>
      </c>
    </row>
    <row r="5" spans="1:3" ht="30" customHeight="1" x14ac:dyDescent="0.25">
      <c r="A5" s="46" t="s">
        <v>302</v>
      </c>
      <c r="B5" s="47" t="s">
        <v>303</v>
      </c>
      <c r="C5" s="47" t="s">
        <v>304</v>
      </c>
    </row>
    <row r="6" spans="1:3" ht="15.75" customHeight="1" x14ac:dyDescent="0.25">
      <c r="A6" s="46" t="s">
        <v>305</v>
      </c>
      <c r="B6" s="47" t="s">
        <v>306</v>
      </c>
      <c r="C6" s="47" t="s">
        <v>307</v>
      </c>
    </row>
    <row r="7" spans="1:3" ht="15.75" customHeight="1" x14ac:dyDescent="0.25">
      <c r="A7" s="46" t="s">
        <v>308</v>
      </c>
      <c r="B7" s="47" t="s">
        <v>309</v>
      </c>
      <c r="C7" s="47" t="s">
        <v>310</v>
      </c>
    </row>
    <row r="8" spans="1:3" ht="15.75" customHeight="1" x14ac:dyDescent="0.25">
      <c r="A8" s="46" t="s">
        <v>311</v>
      </c>
      <c r="B8" s="47" t="s">
        <v>312</v>
      </c>
      <c r="C8" s="47" t="s">
        <v>307</v>
      </c>
    </row>
    <row r="9" spans="1:3" ht="30" customHeight="1" x14ac:dyDescent="0.25">
      <c r="A9" s="46" t="s">
        <v>313</v>
      </c>
      <c r="B9" s="47" t="s">
        <v>314</v>
      </c>
      <c r="C9" s="47" t="s">
        <v>307</v>
      </c>
    </row>
    <row r="10" spans="1:3" ht="15.75" customHeight="1" x14ac:dyDescent="0.25">
      <c r="A10" s="46" t="s">
        <v>315</v>
      </c>
      <c r="B10" s="47" t="s">
        <v>316</v>
      </c>
      <c r="C10" s="47" t="s">
        <v>307</v>
      </c>
    </row>
    <row r="11" spans="1:3" ht="30" customHeight="1" x14ac:dyDescent="0.25">
      <c r="A11" s="46" t="s">
        <v>317</v>
      </c>
      <c r="B11" s="47" t="s">
        <v>318</v>
      </c>
      <c r="C11" s="47" t="s">
        <v>319</v>
      </c>
    </row>
    <row r="13" spans="1:3" ht="15.75" x14ac:dyDescent="0.25">
      <c r="A13" s="44" t="s">
        <v>320</v>
      </c>
    </row>
    <row r="14" spans="1:3" x14ac:dyDescent="0.25">
      <c r="A14" s="45" t="s">
        <v>4</v>
      </c>
      <c r="B14" s="45" t="s">
        <v>321</v>
      </c>
      <c r="C14" s="45" t="s">
        <v>301</v>
      </c>
    </row>
    <row r="15" spans="1:3" ht="15.75" customHeight="1" x14ac:dyDescent="0.25">
      <c r="A15" s="46" t="s">
        <v>19</v>
      </c>
      <c r="B15" s="47" t="s">
        <v>322</v>
      </c>
      <c r="C15" s="47" t="s">
        <v>307</v>
      </c>
    </row>
    <row r="16" spans="1:3" ht="15.75" customHeight="1" x14ac:dyDescent="0.25">
      <c r="A16" s="46" t="s">
        <v>19</v>
      </c>
      <c r="B16" s="47" t="s">
        <v>323</v>
      </c>
      <c r="C16" s="47" t="s">
        <v>307</v>
      </c>
    </row>
    <row r="17" spans="1:3" ht="15.75" customHeight="1" x14ac:dyDescent="0.25">
      <c r="A17" s="46" t="s">
        <v>34</v>
      </c>
      <c r="B17" s="47" t="s">
        <v>37</v>
      </c>
      <c r="C17" s="47" t="s">
        <v>307</v>
      </c>
    </row>
    <row r="18" spans="1:3" ht="15.75" customHeight="1" x14ac:dyDescent="0.25">
      <c r="A18" s="46" t="s">
        <v>40</v>
      </c>
      <c r="B18" s="47" t="s">
        <v>42</v>
      </c>
      <c r="C18" s="47" t="s">
        <v>307</v>
      </c>
    </row>
    <row r="19" spans="1:3" ht="15.75" customHeight="1" x14ac:dyDescent="0.25">
      <c r="A19" s="46" t="s">
        <v>45</v>
      </c>
      <c r="B19" s="47" t="s">
        <v>37</v>
      </c>
      <c r="C19" s="47" t="s">
        <v>307</v>
      </c>
    </row>
    <row r="20" spans="1:3" ht="30" customHeight="1" x14ac:dyDescent="0.25">
      <c r="A20" s="46" t="s">
        <v>324</v>
      </c>
      <c r="B20" s="47" t="s">
        <v>325</v>
      </c>
      <c r="C20" s="47" t="s">
        <v>326</v>
      </c>
    </row>
    <row r="21" spans="1:3" ht="30" customHeight="1" x14ac:dyDescent="0.25">
      <c r="A21" s="46" t="s">
        <v>327</v>
      </c>
      <c r="B21" s="47" t="s">
        <v>325</v>
      </c>
      <c r="C21" s="47" t="s">
        <v>326</v>
      </c>
    </row>
    <row r="23" spans="1:3" ht="15.75" x14ac:dyDescent="0.25">
      <c r="A23" s="44" t="s">
        <v>328</v>
      </c>
    </row>
    <row r="24" spans="1:3" x14ac:dyDescent="0.25">
      <c r="A24" s="45" t="s">
        <v>126</v>
      </c>
      <c r="B24" s="45" t="s">
        <v>185</v>
      </c>
      <c r="C24" s="45" t="s">
        <v>301</v>
      </c>
    </row>
    <row r="25" spans="1:3" ht="15.75" customHeight="1" x14ac:dyDescent="0.25">
      <c r="A25" s="46" t="s">
        <v>329</v>
      </c>
      <c r="B25" s="47" t="s">
        <v>184</v>
      </c>
      <c r="C25" s="47" t="s">
        <v>307</v>
      </c>
    </row>
    <row r="26" spans="1:3" ht="30" customHeight="1" x14ac:dyDescent="0.25">
      <c r="A26" s="46" t="s">
        <v>330</v>
      </c>
      <c r="B26" s="47" t="s">
        <v>331</v>
      </c>
      <c r="C26" s="47" t="s">
        <v>332</v>
      </c>
    </row>
    <row r="27" spans="1:3" ht="30" customHeight="1" x14ac:dyDescent="0.25">
      <c r="A27" s="46" t="s">
        <v>333</v>
      </c>
      <c r="B27" s="47" t="s">
        <v>334</v>
      </c>
      <c r="C27" s="47" t="s">
        <v>307</v>
      </c>
    </row>
    <row r="28" spans="1:3" ht="45" customHeight="1" x14ac:dyDescent="0.25">
      <c r="A28" s="46" t="s">
        <v>335</v>
      </c>
      <c r="B28" s="47" t="s">
        <v>336</v>
      </c>
      <c r="C28" s="47" t="s">
        <v>326</v>
      </c>
    </row>
    <row r="30" spans="1:3" ht="15.75" x14ac:dyDescent="0.25">
      <c r="A30" s="44" t="s">
        <v>337</v>
      </c>
    </row>
    <row r="31" spans="1:3" x14ac:dyDescent="0.25">
      <c r="A31" s="45" t="s">
        <v>299</v>
      </c>
      <c r="B31" s="45" t="s">
        <v>300</v>
      </c>
      <c r="C31" s="45" t="s">
        <v>301</v>
      </c>
    </row>
    <row r="32" spans="1:3" ht="45" customHeight="1" x14ac:dyDescent="0.25">
      <c r="A32" s="46" t="s">
        <v>338</v>
      </c>
      <c r="B32" s="47" t="s">
        <v>339</v>
      </c>
      <c r="C32" s="47" t="s">
        <v>340</v>
      </c>
    </row>
    <row r="33" spans="1:3" ht="30" customHeight="1" x14ac:dyDescent="0.25">
      <c r="A33" s="46" t="s">
        <v>341</v>
      </c>
      <c r="B33" s="47" t="s">
        <v>342</v>
      </c>
      <c r="C33" s="47" t="s">
        <v>340</v>
      </c>
    </row>
    <row r="34" spans="1:3" ht="30" customHeight="1" x14ac:dyDescent="0.25">
      <c r="A34" s="46" t="s">
        <v>343</v>
      </c>
      <c r="B34" s="47" t="s">
        <v>344</v>
      </c>
      <c r="C34" s="47" t="s">
        <v>340</v>
      </c>
    </row>
    <row r="36" spans="1:3" ht="15.75" x14ac:dyDescent="0.25">
      <c r="A36" s="44" t="s">
        <v>345</v>
      </c>
    </row>
    <row r="37" spans="1:3" x14ac:dyDescent="0.25">
      <c r="A37" s="45" t="s">
        <v>346</v>
      </c>
      <c r="B37" s="45" t="s">
        <v>347</v>
      </c>
      <c r="C37" s="45" t="s">
        <v>301</v>
      </c>
    </row>
    <row r="38" spans="1:3" ht="60" customHeight="1" x14ac:dyDescent="0.25">
      <c r="A38" s="46" t="s">
        <v>348</v>
      </c>
      <c r="B38" s="47" t="s">
        <v>349</v>
      </c>
      <c r="C38" s="47" t="s">
        <v>307</v>
      </c>
    </row>
    <row r="39" spans="1:3" ht="30" customHeight="1" x14ac:dyDescent="0.25">
      <c r="A39" s="46" t="s">
        <v>350</v>
      </c>
      <c r="B39" s="47" t="s">
        <v>351</v>
      </c>
      <c r="C39" s="47" t="s">
        <v>310</v>
      </c>
    </row>
    <row r="40" spans="1:3" ht="45" customHeight="1" x14ac:dyDescent="0.25">
      <c r="A40" s="46" t="s">
        <v>352</v>
      </c>
      <c r="B40" s="47" t="s">
        <v>353</v>
      </c>
      <c r="C40" s="47" t="s">
        <v>319</v>
      </c>
    </row>
    <row r="41" spans="1:3" ht="30" customHeight="1" x14ac:dyDescent="0.25">
      <c r="A41" s="46" t="s">
        <v>354</v>
      </c>
      <c r="B41" s="47" t="s">
        <v>355</v>
      </c>
      <c r="C41" s="47" t="s">
        <v>307</v>
      </c>
    </row>
    <row r="43" spans="1:3" ht="15.75" x14ac:dyDescent="0.25">
      <c r="A43" s="44" t="s">
        <v>356</v>
      </c>
    </row>
    <row r="44" spans="1:3" x14ac:dyDescent="0.25">
      <c r="A44" s="45" t="s">
        <v>357</v>
      </c>
      <c r="B44" s="45" t="s">
        <v>358</v>
      </c>
      <c r="C44" s="45" t="s">
        <v>359</v>
      </c>
    </row>
    <row r="45" spans="1:3" ht="30" customHeight="1" x14ac:dyDescent="0.25">
      <c r="A45" s="46" t="s">
        <v>360</v>
      </c>
      <c r="B45" s="47" t="s">
        <v>361</v>
      </c>
      <c r="C45" s="47" t="s">
        <v>362</v>
      </c>
    </row>
    <row r="46" spans="1:3" ht="30" customHeight="1" x14ac:dyDescent="0.25">
      <c r="A46" s="46" t="s">
        <v>49</v>
      </c>
      <c r="B46" s="47" t="s">
        <v>363</v>
      </c>
      <c r="C46" s="47" t="s">
        <v>364</v>
      </c>
    </row>
    <row r="47" spans="1:3" ht="30" customHeight="1" x14ac:dyDescent="0.25">
      <c r="A47" s="46" t="s">
        <v>72</v>
      </c>
      <c r="B47" s="47" t="s">
        <v>365</v>
      </c>
      <c r="C47" s="47" t="s">
        <v>366</v>
      </c>
    </row>
    <row r="48" spans="1:3" ht="15.75" customHeight="1" x14ac:dyDescent="0.25">
      <c r="A48" s="46" t="s">
        <v>367</v>
      </c>
      <c r="B48" s="47" t="s">
        <v>368</v>
      </c>
      <c r="C48" s="47" t="s">
        <v>369</v>
      </c>
    </row>
    <row r="50" spans="1:3" ht="15.75" x14ac:dyDescent="0.25">
      <c r="A50" s="44" t="s">
        <v>370</v>
      </c>
    </row>
    <row r="51" spans="1:3" x14ac:dyDescent="0.25">
      <c r="A51" s="45" t="s">
        <v>371</v>
      </c>
      <c r="B51" s="45" t="s">
        <v>372</v>
      </c>
      <c r="C51" s="45" t="s">
        <v>301</v>
      </c>
    </row>
    <row r="52" spans="1:3" ht="30" customHeight="1" x14ac:dyDescent="0.25">
      <c r="A52" s="46" t="s">
        <v>373</v>
      </c>
      <c r="B52" s="47" t="s">
        <v>374</v>
      </c>
      <c r="C52" s="47" t="s">
        <v>319</v>
      </c>
    </row>
    <row r="53" spans="1:3" ht="30" customHeight="1" x14ac:dyDescent="0.25">
      <c r="A53" s="46" t="s">
        <v>375</v>
      </c>
      <c r="B53" s="47" t="s">
        <v>376</v>
      </c>
      <c r="C53" s="47" t="s">
        <v>319</v>
      </c>
    </row>
    <row r="54" spans="1:3" ht="45" customHeight="1" x14ac:dyDescent="0.25">
      <c r="A54" s="46" t="s">
        <v>377</v>
      </c>
      <c r="B54" s="47" t="s">
        <v>378</v>
      </c>
      <c r="C54" s="47" t="s">
        <v>319</v>
      </c>
    </row>
    <row r="55" spans="1:3" ht="30" customHeight="1" x14ac:dyDescent="0.25">
      <c r="A55" s="46" t="s">
        <v>244</v>
      </c>
      <c r="B55" s="47" t="s">
        <v>379</v>
      </c>
      <c r="C55" s="47" t="s">
        <v>380</v>
      </c>
    </row>
    <row r="56" spans="1:3" ht="15.75" customHeight="1" x14ac:dyDescent="0.25">
      <c r="A56" s="46" t="s">
        <v>381</v>
      </c>
      <c r="B56" s="47" t="s">
        <v>382</v>
      </c>
      <c r="C56" s="47" t="s">
        <v>383</v>
      </c>
    </row>
    <row r="57" spans="1:3" ht="15.75" customHeight="1" x14ac:dyDescent="0.25">
      <c r="A57" s="46" t="s">
        <v>384</v>
      </c>
      <c r="B57" s="47" t="s">
        <v>385</v>
      </c>
      <c r="C57" s="47" t="s">
        <v>319</v>
      </c>
    </row>
    <row r="58" spans="1:3" ht="30" customHeight="1" x14ac:dyDescent="0.25">
      <c r="A58" s="46" t="s">
        <v>386</v>
      </c>
      <c r="B58" s="47" t="s">
        <v>387</v>
      </c>
      <c r="C58" s="47" t="s">
        <v>388</v>
      </c>
    </row>
  </sheetData>
  <pageMargins left="0.75" right="0.75" top="1" bottom="1" header="0.511811023622047" footer="0.511811023622047"/>
  <pageSetup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Register Map</vt:lpstr>
      <vt:lpstr>Fields</vt:lpstr>
      <vt:lpstr>Bit Map</vt:lpstr>
      <vt:lpstr>Rules &amp;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Jason Rodrigues</cp:lastModifiedBy>
  <cp:revision>0</cp:revision>
  <dcterms:created xsi:type="dcterms:W3CDTF">2026-10-07T17:07:50Z</dcterms:created>
  <dcterms:modified xsi:type="dcterms:W3CDTF">2026-10-08T04:00:14Z</dcterms:modified>
  <dc:language>en-US</dc:language>
</cp:coreProperties>
</file>